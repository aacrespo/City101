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Data Inventory" sheetId="2" r:id="rId5"/>
    <sheet state="visible" name="Map Plan" sheetId="3" r:id="rId6"/>
    <sheet state="visible" name="Key Findings" sheetId="4" r:id="rId7"/>
  </sheets>
  <definedNames>
    <definedName hidden="1" localSheetId="0" name="_xlnm._FilterDatabase">Tasks!$A$3:$J$3</definedName>
  </definedNames>
  <calcPr/>
  <extLst>
    <ext uri="GoogleSheetsCustomDataVersion2">
      <go:sheetsCustomData xmlns:go="http://customooxmlschemas.google.com/" r:id="rId8" roundtripDataChecksum="qnlzMTaEBpXTTQFsQF0B4WArGfICf/68XB2iDMenPyY="/>
    </ext>
  </extLst>
</workbook>
</file>

<file path=xl/sharedStrings.xml><?xml version="1.0" encoding="utf-8"?>
<sst xmlns="http://schemas.openxmlformats.org/spreadsheetml/2006/main" count="978" uniqueCount="483">
  <si>
    <t>CITY101 — TASK TRACKER (A02 Crit: Mon 2 Mar 1pm)</t>
  </si>
  <si>
    <t>#</t>
  </si>
  <si>
    <t>Category</t>
  </si>
  <si>
    <t>Task</t>
  </si>
  <si>
    <t>Owner</t>
  </si>
  <si>
    <t>Priority</t>
  </si>
  <si>
    <t>Status</t>
  </si>
  <si>
    <t>Deadline</t>
  </si>
  <si>
    <t>Depends On</t>
  </si>
  <si>
    <t>Source</t>
  </si>
  <si>
    <t>Notes</t>
  </si>
  <si>
    <t>🔴 TONIGHT — Critical Path (1 Mar night)</t>
  </si>
  <si>
    <t>Data — Temporal</t>
  </si>
  <si>
    <t>First/last train per station (49 stations, transport.opendata.ch)</t>
  </si>
  <si>
    <t>Henna</t>
  </si>
  <si>
    <t>🔴 P1 Critical</t>
  </si>
  <si>
    <t>✅ Done</t>
  </si>
  <si>
    <t>1 Mar night</t>
  </si>
  <si>
    <t>—</t>
  </si>
  <si>
    <t>Team Handoff S1 → S2 overlap</t>
  </si>
  <si>
    <t>Andrea completed in S9. Henna: DON'T redo. Use city101_first_last_trains.csv</t>
  </si>
  <si>
    <t>Data — Cost</t>
  </si>
  <si>
    <t>GA cost map: SBB pricing for 35 OD pairs × 3 ticket types</t>
  </si>
  <si>
    <t>Andrea</t>
  </si>
  <si>
    <t>Team Handoff S1</t>
  </si>
  <si>
    <t>Completed in S10. CHF 20 budget = 41km city.</t>
  </si>
  <si>
    <t>Data — Cross-ref</t>
  </si>
  <si>
    <t>Classmate data cross-reference: count features within 500m of 49 stations</t>
  </si>
  <si>
    <t>2,093 points from 33 datasets. Shannon diversity computed.</t>
  </si>
  <si>
    <t>Data — Night</t>
  </si>
  <si>
    <t>24h venue scan: cafés/restaurants open past midnight</t>
  </si>
  <si>
    <t>🟡 P2 Important</t>
  </si>
  <si>
    <t>Google Places hours filter along corridor</t>
  </si>
  <si>
    <t>Noctambus / night bus routes and coverage</t>
  </si>
  <si>
    <t>Handoff 23-02 S2</t>
  </si>
  <si>
    <t>Alternative network when trains stop</t>
  </si>
  <si>
    <t>Data — Zurich</t>
  </si>
  <si>
    <t>Zurich minimal comparison: 10–12 S-Bahn stations</t>
  </si>
  <si>
    <t>Team Handoff S1 → S2</t>
  </si>
  <si>
    <t>12 S8 stations completed, 15 structural metrics</t>
  </si>
  <si>
    <t>🟡 MONDAY MORNING — Curation &amp; Export (2 Mar)</t>
  </si>
  <si>
    <t>Maps — Export</t>
  </si>
  <si>
    <t>Review 7 existing QGIS layouts, verify labels/legibility</t>
  </si>
  <si>
    <t>⬜ To Do</t>
  </si>
  <si>
    <t>2 Mar AM</t>
  </si>
  <si>
    <t>Team Handoff S2</t>
  </si>
  <si>
    <t>CITY101_WORKING.qgz, 50+ layers</t>
  </si>
  <si>
    <t>Load new layers: temporal WCI, modal diversity, GA cost, break points</t>
  </si>
  <si>
    <t>GA cost ✅</t>
  </si>
  <si>
    <t>Export strongest 3–5 maps as print-ready PDFs</t>
  </si>
  <si>
    <t>Layouts reviewed</t>
  </si>
  <si>
    <t>A1 landscape</t>
  </si>
  <si>
    <t>Maps — New</t>
  </si>
  <si>
    <t>MAP8: GA Cost Gradient (49 stations colored by price from Geneva)</t>
  </si>
  <si>
    <t>GA cost data ✅</t>
  </si>
  <si>
    <t>MAP9: Shannon Diversity (stations by Shannon, sized by richness)</t>
  </si>
  <si>
    <t>Crossref ✅</t>
  </si>
  <si>
    <t>MAP10: Temporal Triptych (3 snapshots: 7am / 1pm / 11pm)</t>
  </si>
  <si>
    <t>Temporal WCI ✅</t>
  </si>
  <si>
    <t>Henna Data</t>
  </si>
  <si>
    <t>Bring thermal comfort / UHI zones into QGIS as environmental layer</t>
  </si>
  <si>
    <t>203 zones + 33 comfort points — ONLY Henna has this</t>
  </si>
  <si>
    <t>Bring cold air drainage layer (nighttime environmental)</t>
  </si>
  <si>
    <t>Bring psycho-comfort data for station quality annotation</t>
  </si>
  <si>
    <t>Verify ridership data (22 stations) is integrated</t>
  </si>
  <si>
    <t>Narrative</t>
  </si>
  <si>
    <t>Write narrative v2 (800–1000 words): integrate temporal + diversity + frontalier findings</t>
  </si>
  <si>
    <t>Together</t>
  </si>
  <si>
    <t>Current draft: 731 words in deliverables/A02_NARRATIVE_DRAFT.md</t>
  </si>
  <si>
    <t>Add Henna's night/environmental paragraph to narrative</t>
  </si>
  <si>
    <t>UHI data loaded</t>
  </si>
  <si>
    <t>Is the Lavaux Fracture a failure or a refuge?</t>
  </si>
  <si>
    <t>Viz — Interactive</t>
  </si>
  <si>
    <t>Build Temporal WCI Pulse (HTML, time slider, 7 slots)</t>
  </si>
  <si>
    <t>Spec in VIZ_SPEC_CLAUDE_CODE.md</t>
  </si>
  <si>
    <t>Build GA Cost Curve (HTML, budget slider)</t>
  </si>
  <si>
    <t>Presentation</t>
  </si>
  <si>
    <t>Decide final map selection: 3–5 ARGUMENT maps + EVIDENCE maps</t>
  </si>
  <si>
    <t>2 Mar pre-crit</t>
  </si>
  <si>
    <t>Maps exported</t>
  </si>
  <si>
    <t>Identify 3–5 intervention sites for week 2 point clouds</t>
  </si>
  <si>
    <t>Break points ✅</t>
  </si>
  <si>
    <t>Candidates: Bussigny, Lancy-Bachet, Aigle, Cully, Rivaz, Vernier-Blandonnet, Coppet</t>
  </si>
  <si>
    <t>Write/refine 2-minute opening pitch</t>
  </si>
  <si>
    <t>Narrative v2</t>
  </si>
  <si>
    <t>Draft exists — needs temporal + diversity findings</t>
  </si>
  <si>
    <t>Upload</t>
  </si>
  <si>
    <t>Upload all files to team Drive</t>
  </si>
  <si>
    <t>All above</t>
  </si>
  <si>
    <t>Priority files listed in handoff</t>
  </si>
  <si>
    <t>✅ COMPLETED — Andrea's Sessions (24 Feb – 2 Mar)</t>
  </si>
  <si>
    <t>Data — Transit</t>
  </si>
  <si>
    <t>Service frequency v2 (49 stations, trains/hr)</t>
  </si>
  <si>
    <t>28 Feb</t>
  </si>
  <si>
    <t>Handoff S1</t>
  </si>
  <si>
    <t>42× variation. Bug fix: API limit=30 had flattened data.</t>
  </si>
  <si>
    <t>SBB Ridership (174 stations, daily passengers, commuter index)</t>
  </si>
  <si>
    <t>CI classifies station character</t>
  </si>
  <si>
    <t>Analysis</t>
  </si>
  <si>
    <t>Break Point Analysis (49 stations, 5 break dimensions)</t>
  </si>
  <si>
    <t>1 Mar S6</t>
  </si>
  <si>
    <t>Only 11/49 continuous. The archipelago.</t>
  </si>
  <si>
    <t>Journey Workability (618 connections, 35 OD pairs × 3 slots)</t>
  </si>
  <si>
    <t>85% not workable. Two corridors on same tracks.</t>
  </si>
  <si>
    <t>WCI Computation (49 segments, 5 components)</t>
  </si>
  <si>
    <t>1 Mar S3</t>
  </si>
  <si>
    <t>0.0003 to 0.6431 range</t>
  </si>
  <si>
    <t>Data — Reviews</t>
  </si>
  <si>
    <t>Station ratings + reviews (37 stations, 71 reviews)</t>
  </si>
  <si>
    <t>Zero 'work_friendly' mentions</t>
  </si>
  <si>
    <t>Research</t>
  </si>
  <si>
    <t>Rail history 1855–2025 + ghost stations</t>
  </si>
  <si>
    <t>1 Mar S4</t>
  </si>
  <si>
    <t>Peak rail was 1911. 6 ghost stations.</t>
  </si>
  <si>
    <t>Viz</t>
  </si>
  <si>
    <t>Rail history interactive HTML (Leaflet.js timeline)</t>
  </si>
  <si>
    <t>1 Mar S5</t>
  </si>
  <si>
    <t>rail_history_v3.html — 170 years, 18 lines</t>
  </si>
  <si>
    <t>Data — Federal</t>
  </si>
  <si>
    <t>14 WMS layers from geo.admin.ch (noise, EV, electricity)</t>
  </si>
  <si>
    <t>1 Mar S2</t>
  </si>
  <si>
    <t>National coverage incl. Zurich — free comparison</t>
  </si>
  <si>
    <t>Data — Mobility</t>
  </si>
  <si>
    <t>Shared mobility (2,062 stations, 8 providers)</t>
  </si>
  <si>
    <t>Geneva-heavy, Riviera absent</t>
  </si>
  <si>
    <t>Temporal WCI (49 stations × 7 time slots)</t>
  </si>
  <si>
    <t>1 Mar S9</t>
  </si>
  <si>
    <t>Archipelago is structural not temporal: 14→13 stations</t>
  </si>
  <si>
    <t>Diversity research (4 indices, Pearson correlations)</t>
  </si>
  <si>
    <t>1 Mar S8</t>
  </si>
  <si>
    <t>r=0.63–0.71 convergence. Shannon 1.0 threshold.</t>
  </si>
  <si>
    <t>Frontalier research (160k ghost citizens)</t>
  </si>
  <si>
    <t>Larger than Lausanne, invisible in metrics</t>
  </si>
  <si>
    <t>Data</t>
  </si>
  <si>
    <t>Opendata.swiss trawl (50+ federal datasets scored)</t>
  </si>
  <si>
    <t>opendata_trawl_categorized.md</t>
  </si>
  <si>
    <t>⚪ WEEK 2 + FUTURE — Parked Items</t>
  </si>
  <si>
    <t>A02 Week 2</t>
  </si>
  <si>
    <t>Point Cloud Sections for high-potential sites (swissSURFACE3D)</t>
  </si>
  <si>
    <t>Week 2</t>
  </si>
  <si>
    <t>Intervention sites chosen</t>
  </si>
  <si>
    <t>A02 Brief</t>
  </si>
  <si>
    <t>Federal LiDAR scans. Need sites identified NOW.</t>
  </si>
  <si>
    <t>Networked intervention strategy (3–5 sites)</t>
  </si>
  <si>
    <t>Sites chosen</t>
  </si>
  <si>
    <t>System that adapts to different contexts</t>
  </si>
  <si>
    <t>GA Hypothesis full research (penetration data, behavioral segmentation)</t>
  </si>
  <si>
    <t>Either</t>
  </si>
  <si>
    <t>⚪ Parked</t>
  </si>
  <si>
    <t>Future</t>
  </si>
  <si>
    <t>TODO 4 Points</t>
  </si>
  <si>
    <t>Research-heavy. Parked for now.</t>
  </si>
  <si>
    <t>viageo.ch commune data (parking meters, benches, cycling infra)</t>
  </si>
  <si>
    <t>Dwell time pricing = city's implicit program</t>
  </si>
  <si>
    <t>Tunnel locations from OSM (cell signal dead zones on train)</t>
  </si>
  <si>
    <t>Completes on-train workability picture</t>
  </si>
  <si>
    <t>View quality per segment (lake visibility from stations)</t>
  </si>
  <si>
    <t>Station + lake view + bench + WiFi = premium node</t>
  </si>
  <si>
    <t>Public bench locations near stations (mobilier urbain)</t>
  </si>
  <si>
    <t>Most basic workspace infrastructure</t>
  </si>
  <si>
    <t>Loophole economy (CFF land zoning, Coop Pronto hours)</t>
  </si>
  <si>
    <t>Legal geography of night commerce</t>
  </si>
  <si>
    <t>Diversity Dashboard (HTML, multi-panel scatter + maps)</t>
  </si>
  <si>
    <t>🟢 P3 Nice-to-have</t>
  </si>
  <si>
    <t>Station Explorer (HTML, 49 stations × 12 dimensions, radar charts)</t>
  </si>
  <si>
    <t>Journey Workability heatmap (HTML, OD matrix)</t>
  </si>
  <si>
    <t>618 connections too dense for print</t>
  </si>
  <si>
    <t>Narrative Scrollytelling (HTML, full argument)</t>
  </si>
  <si>
    <t>Portfolio piece, only if time</t>
  </si>
  <si>
    <t>Midterm</t>
  </si>
  <si>
    <t>Rhino MCP modeling for 3 intervention sites</t>
  </si>
  <si>
    <t>Adaptive rail-mounted module</t>
  </si>
  <si>
    <t>Full Zurich WCI replication</t>
  </si>
  <si>
    <t>DATA INVENTORY — All Available Datasets</t>
  </si>
  <si>
    <t>Dataset</t>
  </si>
  <si>
    <t>File</t>
  </si>
  <si>
    <t>Rows</t>
  </si>
  <si>
    <t>Key Columns</t>
  </si>
  <si>
    <t>Date</t>
  </si>
  <si>
    <t>Used In</t>
  </si>
  <si>
    <t>Core Corridor Datasets</t>
  </si>
  <si>
    <t>EV Charging MERGED</t>
  </si>
  <si>
    <t>city101_ev_charging_MERGED.csv</t>
  </si>
  <si>
    <t>lat, lon, operator, power</t>
  </si>
  <si>
    <t>OSM + Google Places</t>
  </si>
  <si>
    <t>17 Feb</t>
  </si>
  <si>
    <t>✅</t>
  </si>
  <si>
    <t>WCI, Maps</t>
  </si>
  <si>
    <t>EV Charging ENRICHED v3</t>
  </si>
  <si>
    <t>city101_ev_charging_ENRICHED_v3.csv</t>
  </si>
  <si>
    <t>53 cols: DIEMO + distances + context</t>
  </si>
  <si>
    <t>DIEMO + OSM + Google</t>
  </si>
  <si>
    <t>24 Feb</t>
  </si>
  <si>
    <t>EV Charging REVIEWS</t>
  </si>
  <si>
    <t>city101_ev_charging_REVIEWS.csv</t>
  </si>
  <si>
    <t>Sentiment-tagged reviews</t>
  </si>
  <si>
    <t>Google Places</t>
  </si>
  <si>
    <t>EV Charging CROSSREF</t>
  </si>
  <si>
    <t>city101_ev_charging_CROSSREF.csv</t>
  </si>
  <si>
    <t>+transit, noise, grocery proximity</t>
  </si>
  <si>
    <t>Multi-source</t>
  </si>
  <si>
    <t>WCI</t>
  </si>
  <si>
    <t>WiFi MERGED v2</t>
  </si>
  <si>
    <t>city101_wifi_MERGEDv_2.csv</t>
  </si>
  <si>
    <t>Quality scores, clusters</t>
  </si>
  <si>
    <t>OSM + Google</t>
  </si>
  <si>
    <t>Remote Work Places</t>
  </si>
  <si>
    <t>city101_remote_work_places.csv</t>
  </si>
  <si>
    <t>Google place_ids, types</t>
  </si>
  <si>
    <t>Remote Work REVIEWS</t>
  </si>
  <si>
    <t>city101_remote_work_REVIEWS.csv</t>
  </si>
  <si>
    <t>Work-relevance tagged</t>
  </si>
  <si>
    <t>Remote Work HOURS</t>
  </si>
  <si>
    <t>city101_remote_work_HOURS.csv</t>
  </si>
  <si>
    <t>Opening hours, 14 are 24h</t>
  </si>
  <si>
    <t>WCI temporal</t>
  </si>
  <si>
    <t>Remote Work CROSSREF</t>
  </si>
  <si>
    <t>city101_remote_work_CROSSREF.csv</t>
  </si>
  <si>
    <t>31 cols, infrastructure proximity</t>
  </si>
  <si>
    <t>1 Mar</t>
  </si>
  <si>
    <t>Transit &amp; Mobility</t>
  </si>
  <si>
    <t>Service Frequency v2</t>
  </si>
  <si>
    <t>city101_service_frequency_v2.csv</t>
  </si>
  <si>
    <t>trains/hr, IC/IR vs regional</t>
  </si>
  <si>
    <t>transport.opendata.ch</t>
  </si>
  <si>
    <t>SBB Ridership</t>
  </si>
  <si>
    <t>city101_ridership_sbb.csv</t>
  </si>
  <si>
    <t>Daily passengers, commuter index</t>
  </si>
  <si>
    <t>Break points</t>
  </si>
  <si>
    <t>Shared Mobility</t>
  </si>
  <si>
    <t>city101_shared_mobility.csv</t>
  </si>
  <si>
    <t>2,062</t>
  </si>
  <si>
    <t>E-bikes, scooters, carshare, provider</t>
  </si>
  <si>
    <t>sharedmobility.ch</t>
  </si>
  <si>
    <t>First/Last Trains</t>
  </si>
  <si>
    <t>city101_first_last_trains.csv</t>
  </si>
  <si>
    <t>Weekday+weekend, service windows</t>
  </si>
  <si>
    <t>Temporal</t>
  </si>
  <si>
    <t>Temporal Frequency</t>
  </si>
  <si>
    <t>city101_temporal_frequency.csv</t>
  </si>
  <si>
    <t>49 stations × 7 time slots</t>
  </si>
  <si>
    <t>TWCI</t>
  </si>
  <si>
    <t>Analysis Outputs</t>
  </si>
  <si>
    <t>WCI Corridor Segments</t>
  </si>
  <si>
    <t>city101_corridor_segments_WCI.csv</t>
  </si>
  <si>
    <t>WCI 5-component score</t>
  </si>
  <si>
    <t>Computed</t>
  </si>
  <si>
    <t>Hero map</t>
  </si>
  <si>
    <t>Temporal WCI</t>
  </si>
  <si>
    <t>city101_temporal_WCI.csv</t>
  </si>
  <si>
    <t>WCI per time slot</t>
  </si>
  <si>
    <t>Temporal map</t>
  </si>
  <si>
    <t>Break Points</t>
  </si>
  <si>
    <t>city101_break_points.csv</t>
  </si>
  <si>
    <t>5 break dimensions, severity</t>
  </si>
  <si>
    <t>Break map</t>
  </si>
  <si>
    <t>Journey Workability</t>
  </si>
  <si>
    <t>city101_journey_workability.csv</t>
  </si>
  <si>
    <t>35 OD × 3 slots, classification</t>
  </si>
  <si>
    <t>Two corridors</t>
  </si>
  <si>
    <t>Journey Work Summary</t>
  </si>
  <si>
    <t>city101_journey_workability_summary.csv</t>
  </si>
  <si>
    <t>OD pair aggregates</t>
  </si>
  <si>
    <t>Train Workability</t>
  </si>
  <si>
    <t>city101_train_workability.csv</t>
  </si>
  <si>
    <t>IC/IR vs R/S ratio per station</t>
  </si>
  <si>
    <t>GA Cost Corridor</t>
  </si>
  <si>
    <t>ga_cost_corridor.csv</t>
  </si>
  <si>
    <t>Price by ticket type per station</t>
  </si>
  <si>
    <t>Estimated (distance-based)</t>
  </si>
  <si>
    <t>GA map</t>
  </si>
  <si>
    <t>Station Crossref Classmates</t>
  </si>
  <si>
    <t>city101_station_crossref_classmates.csv</t>
  </si>
  <si>
    <t>46 cols: 33 datasets × proximity</t>
  </si>
  <si>
    <t>Classmate data</t>
  </si>
  <si>
    <t>Diversity</t>
  </si>
  <si>
    <t>Modal Diversity</t>
  </si>
  <si>
    <t>city101_modal_diversity.csv</t>
  </si>
  <si>
    <t>Shannon per station, 11 modes</t>
  </si>
  <si>
    <t>Reviews &amp; Ratings</t>
  </si>
  <si>
    <t>Station Ratings</t>
  </si>
  <si>
    <t>city101_station_ratings.csv</t>
  </si>
  <si>
    <t>M2, M1, CGN, LEx with Google ratings</t>
  </si>
  <si>
    <t>Quality map</t>
  </si>
  <si>
    <t>Station REVIEWS</t>
  </si>
  <si>
    <t>city101_station_REVIEWS.csv</t>
  </si>
  <si>
    <t>Tagged by theme</t>
  </si>
  <si>
    <t>Dark data</t>
  </si>
  <si>
    <t>National / Federal</t>
  </si>
  <si>
    <t>Swiss Charging Stats</t>
  </si>
  <si>
    <t>swiss_charging_keyfigures_monthly.csv</t>
  </si>
  <si>
    <t>Monthly national benchmark 2020–26</t>
  </si>
  <si>
    <t>opendata.swiss</t>
  </si>
  <si>
    <t>Context</t>
  </si>
  <si>
    <t>Cell Towers</t>
  </si>
  <si>
    <t>city101_cell_towers.csv</t>
  </si>
  <si>
    <t>3,218</t>
  </si>
  <si>
    <t>3G/4G/5G, operator, location</t>
  </si>
  <si>
    <t>BAKOM</t>
  </si>
  <si>
    <t>Connectivity</t>
  </si>
  <si>
    <t>International Anchors</t>
  </si>
  <si>
    <t>city101_international_anchors.csv</t>
  </si>
  <si>
    <t>CERN, UN, IOC, etc.</t>
  </si>
  <si>
    <t>Manual</t>
  </si>
  <si>
    <t>14 WMS Layers</t>
  </si>
  <si>
    <t>(loaded in QGIS)</t>
  </si>
  <si>
    <t>Noise, EV 2035, electricity demand</t>
  </si>
  <si>
    <t>geo.admin.ch</t>
  </si>
  <si>
    <t>Zurich comp</t>
  </si>
  <si>
    <t>Henna's Data (to integrate)</t>
  </si>
  <si>
    <t>UHI High Peak</t>
  </si>
  <si>
    <t>hennarafik-UHIhighpeakheatislands.csv</t>
  </si>
  <si>
    <t>Heat island zones</t>
  </si>
  <si>
    <t>Own research</t>
  </si>
  <si>
    <t>Feb</t>
  </si>
  <si>
    <t>🟡</t>
  </si>
  <si>
    <t>Environmental</t>
  </si>
  <si>
    <t>UHI Medium</t>
  </si>
  <si>
    <t>hennarafik-UHImediumtransitionzones.csv</t>
  </si>
  <si>
    <t>Transition zones</t>
  </si>
  <si>
    <t>UHI Low Cool</t>
  </si>
  <si>
    <t>hennarafik-UHIlowcoolzones.csv</t>
  </si>
  <si>
    <t>Cool zones</t>
  </si>
  <si>
    <t>Thermal Comfort</t>
  </si>
  <si>
    <t>hennarafik-thermalcomfort.csv</t>
  </si>
  <si>
    <t>Comfort points</t>
  </si>
  <si>
    <t>Station Ridership</t>
  </si>
  <si>
    <t>(Henna's ridership data)</t>
  </si>
  <si>
    <t>Daily + workday averages</t>
  </si>
  <si>
    <t>Verify integrated</t>
  </si>
  <si>
    <t>Zurich Comparison</t>
  </si>
  <si>
    <t>Zurich S8 Comparison</t>
  </si>
  <si>
    <t>zurich_sbahn_comparison.csv</t>
  </si>
  <si>
    <t>Frequency, workspace, WCI analog</t>
  </si>
  <si>
    <t>ZVV + Google</t>
  </si>
  <si>
    <t>Comparison map</t>
  </si>
  <si>
    <t>Not Yet Fetched</t>
  </si>
  <si>
    <t>24h Venues</t>
  </si>
  <si>
    <t>Past-midnight cafés/restaurants</t>
  </si>
  <si>
    <t>⬜</t>
  </si>
  <si>
    <t>Night dimension</t>
  </si>
  <si>
    <t>Noctambus Routes</t>
  </si>
  <si>
    <t>Night bus network</t>
  </si>
  <si>
    <t>TL / tpg</t>
  </si>
  <si>
    <t>Gap hours</t>
  </si>
  <si>
    <t>viageo.ch Commune Data</t>
  </si>
  <si>
    <t>Parking meters, benches, cycling</t>
  </si>
  <si>
    <t>viageo.ch</t>
  </si>
  <si>
    <t>Parked</t>
  </si>
  <si>
    <t>Tunnel Locations</t>
  </si>
  <si>
    <t>Cell signal dead zones</t>
  </si>
  <si>
    <t>OSM</t>
  </si>
  <si>
    <t>MAP &amp; VISUALIZATION PLAN — What to Print, What to Show Live</t>
  </si>
  <si>
    <t>Map ID</t>
  </si>
  <si>
    <t>Title</t>
  </si>
  <si>
    <t>Type</t>
  </si>
  <si>
    <t>Data Source</t>
  </si>
  <si>
    <t>Argument</t>
  </si>
  <si>
    <t>Format</t>
  </si>
  <si>
    <t>🗺️ ARGUMENT MAPS — Print Large, Present First</t>
  </si>
  <si>
    <t>MAP A</t>
  </si>
  <si>
    <t>The Archipelago (WCI hero)</t>
  </si>
  <si>
    <t>Print A1</t>
  </si>
  <si>
    <t>corridor_segments_WCI.csv</t>
  </si>
  <si>
    <t>The linear city doesn't exist — 11 nodes, 3 gaps dimensioned</t>
  </si>
  <si>
    <t>PDF A1</t>
  </si>
  <si>
    <t>MAP B</t>
  </si>
  <si>
    <t>Two Corridors / Journey Workability</t>
  </si>
  <si>
    <t>journey_workability.csv</t>
  </si>
  <si>
    <t>IC vs S-Bahn = same tracks, two cities</t>
  </si>
  <si>
    <t>MAP C</t>
  </si>
  <si>
    <t>Temporal Corridor (3 timestamps)</t>
  </si>
  <si>
    <t>temporal_WCI.csv</t>
  </si>
  <si>
    <t>8am / 8pm / 2am — the line dying at night</t>
  </si>
  <si>
    <t>📊 EVIDENCE MAPS — Print Smaller or Screen</t>
  </si>
  <si>
    <t>MAP D</t>
  </si>
  <si>
    <t>Lavaux Fracture Zoom</t>
  </si>
  <si>
    <t>Print A3</t>
  </si>
  <si>
    <t>WCI + frequency + workspaces</t>
  </si>
  <si>
    <t>The wound up close — failure or refuge?</t>
  </si>
  <si>
    <t>PDF A3</t>
  </si>
  <si>
    <t>MAP E</t>
  </si>
  <si>
    <t>Break Point Classification</t>
  </si>
  <si>
    <t>49 stations by severity, paradox stations labeled</t>
  </si>
  <si>
    <t>MAP F</t>
  </si>
  <si>
    <t>Transit Backbone</t>
  </si>
  <si>
    <t>service_frequency_v2 + ridership</t>
  </si>
  <si>
    <t>42× variation, ridership bubbles</t>
  </si>
  <si>
    <t>MAP G</t>
  </si>
  <si>
    <t>Remote Work Infrastructure</t>
  </si>
  <si>
    <t>remote_work_CROSSREF + wifi</t>
  </si>
  <si>
    <t>68 workspaces + hours (open/closed/24h)</t>
  </si>
  <si>
    <t>MAP H</t>
  </si>
  <si>
    <t>Radial vs linear, same metrics</t>
  </si>
  <si>
    <t>MAP I</t>
  </si>
  <si>
    <t>Shared Mobility Coverage</t>
  </si>
  <si>
    <t>MAP8</t>
  </si>
  <si>
    <t>GA Cost Gradient</t>
  </si>
  <si>
    <t>Your city depends on your wallet</t>
  </si>
  <si>
    <t>MAP9</t>
  </si>
  <si>
    <t>Shannon Diversity</t>
  </si>
  <si>
    <t>station_crossref_classmates.csv</t>
  </si>
  <si>
    <t>Diversity = completeness (Shannon threshold)</t>
  </si>
  <si>
    <t>MAP10</t>
  </si>
  <si>
    <t>Temporal Triptych</t>
  </si>
  <si>
    <t>3 snapshots: 7am / 1pm / 11pm — doesn't pulse</t>
  </si>
  <si>
    <t>💻 INTERACTIVE VISUALIZATIONS — Show Live at Crit</t>
  </si>
  <si>
    <t>VIZ 1</t>
  </si>
  <si>
    <t>Temporal WCI Pulse</t>
  </si>
  <si>
    <t>HTML</t>
  </si>
  <si>
    <t>Time slider — counter barely moves (14→13)</t>
  </si>
  <si>
    <t>Leaflet+D3</t>
  </si>
  <si>
    <t>VIZ 2</t>
  </si>
  <si>
    <t>GA Cost Curve</t>
  </si>
  <si>
    <t>Budget slider → 'your city ends here'</t>
  </si>
  <si>
    <t>D3</t>
  </si>
  <si>
    <t>VIZ 3</t>
  </si>
  <si>
    <t>Diversity Dashboard</t>
  </si>
  <si>
    <t>crossref + modal_diversity</t>
  </si>
  <si>
    <t>Multi-panel scatter + correlation bars + mini-maps</t>
  </si>
  <si>
    <t>VIZ 4</t>
  </si>
  <si>
    <t>Two geographies side-by-side, same color scale</t>
  </si>
  <si>
    <t>Leaflet</t>
  </si>
  <si>
    <t>VIZ 5</t>
  </si>
  <si>
    <t>Station Explorer</t>
  </si>
  <si>
    <t>crossref + temporal + GA</t>
  </si>
  <si>
    <t>49 stations × 12 dims, radar charts, compare</t>
  </si>
  <si>
    <t>EXISTING</t>
  </si>
  <si>
    <t>Rail History Timeline</t>
  </si>
  <si>
    <t>rail_history_v3.html</t>
  </si>
  <si>
    <t>170 years, 18 lines, 6 ghost stations, play/pause</t>
  </si>
  <si>
    <t>🖥️ LIVE QGIS — Exploration During Crit</t>
  </si>
  <si>
    <t>QGIS</t>
  </si>
  <si>
    <t>50-layer project</t>
  </si>
  <si>
    <t>Live</t>
  </si>
  <si>
    <t>CITY101_WORKING.qgz</t>
  </si>
  <si>
    <t>Live querying, toggle layers, zoom to details</t>
  </si>
  <si>
    <t>✅ Loaded</t>
  </si>
  <si>
    <t>KEY FINDINGS — Crit Cheat Sheet</t>
  </si>
  <si>
    <t>Finding</t>
  </si>
  <si>
    <t>Detail</t>
  </si>
  <si>
    <t>Use In Crit</t>
  </si>
  <si>
    <t>The Archipelago</t>
  </si>
  <si>
    <t>Only 11/49 stations (22%) maintain full working continuity. 3 structural gaps: Nyon→Gland 19.3km, Gland→Morges 20km, Lavaux Fracture 17.5km</t>
  </si>
  <si>
    <t>LEAD finding. Hero map.</t>
  </si>
  <si>
    <t>Two Corridors on Same Tracks</t>
  </si>
  <si>
    <t>IC = 46min office (WiFi, tables, quiet car). S-Bahn = 90-sec interruptions, can't open laptop. 85% of connections NOT workable.</t>
  </si>
  <si>
    <t>Second punch. Journey workability map.</t>
  </si>
  <si>
    <t>42× Frequency Variation</t>
  </si>
  <si>
    <t>Lausanne 28.5 tr/hr (2-min wait) → Bossière 2.0 (37-min) → St-Saphorin 0.0</t>
  </si>
  <si>
    <t>Transit backbone map. Scale of inequality.</t>
  </si>
  <si>
    <t>2,000× WCI Variation</t>
  </si>
  <si>
    <t>Geneva 0.6431 → St-Saphorin 0.0003</t>
  </si>
  <si>
    <t>Quantifies the archipelago.</t>
  </si>
  <si>
    <t>Frequency-Amenity Paradox</t>
  </si>
  <si>
    <t>Bussigny 9 tr/hr, Lancy-Bachet 12.5, Aigle 16.5 = great transit, ZERO workspaces. Train delivers you to a void.</t>
  </si>
  <si>
    <t>Intervention site rationale.</t>
  </si>
  <si>
    <t>Doesn't Pulse</t>
  </si>
  <si>
    <t>14 stations workable at peak, 13 at 11pm. The archipelago is structural, not temporal.</t>
  </si>
  <si>
    <t>Temporal map. Counters 'just a rush hour problem.'</t>
  </si>
  <si>
    <t>CHF 20 = 41km City</t>
  </si>
  <si>
    <t>Full-price budget reaches St-Prex, 12km short of Lausanne. GA daily = CHF 10.58 = 101km. Short-hop penalty 6×.</t>
  </si>
  <si>
    <t>GA cost map. Equity argument.</t>
  </si>
  <si>
    <t>160,000 Ghost Citizens</t>
  </si>
  <si>
    <t>Frontaliers larger than Lausanne, invisible in every metric, can't buy GA.</t>
  </si>
  <si>
    <t>Frontalier paragraph in narrative.</t>
  </si>
  <si>
    <t>Diversity Convergence</t>
  </si>
  <si>
    <t>4 independent indices (religious, modal, economic, culinary) all converge: r = 0.63–0.71. Shannon 1.0 threshold: below = 8.8 avg richness, above = 70.5 (8× jump).</t>
  </si>
  <si>
    <t>Diversity map. Comtesse validation.</t>
  </si>
  <si>
    <t>Lavaux = Systemic Collapse</t>
  </si>
  <si>
    <t>Not just a transit gap — economic, modal, demographic diversity all collapse simultaneously.</t>
  </si>
  <si>
    <t>Fracture zoom map.</t>
  </si>
  <si>
    <t>Nobody Reviews for Work</t>
  </si>
  <si>
    <t>Zero 'work_friendly' in 71 station reviews. Station-as-workplace is invisible.</t>
  </si>
  <si>
    <t>Dark data argument.</t>
  </si>
  <si>
    <t>Peak Rail Was 1911</t>
  </si>
  <si>
    <t>More connectivity 115 years ago. 6 ghost stations killed by Rail 2000 in 2004. Clarens-Chailly tramway demolished 1955.</t>
  </si>
  <si>
    <t>Rail history viz. Contraction narrative.</t>
  </si>
  <si>
    <t>Same country, same operator. Radial compresses variation (12×), linear amplifies (42×). Worst Zurich lakeside: 2 tr/hr. Worst City101: 0.</t>
  </si>
  <si>
    <t>Zurich comparison map.</t>
  </si>
  <si>
    <t>Henna: Thermal + Night</t>
  </si>
  <si>
    <t>Is Lavaux Fracture the worst for work AND best for rest? UHI + cold air drainage as environmental quality layer.</t>
  </si>
  <si>
    <t>Environmental paragraph in narrative.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</si>
</sst>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1A1A2E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sz val="10.0"/>
      <color rgb="FF1A1A2E"/>
      <name val="Arial"/>
    </font>
    <font>
      <b/>
      <sz val="10.0"/>
      <color rgb="FFE94560"/>
      <name val="Arial"/>
    </font>
    <font>
      <b/>
      <sz val="13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94560"/>
        <bgColor rgb="FFE94560"/>
      </patternFill>
    </fill>
    <fill>
      <patternFill patternType="solid">
        <fgColor rgb="FFF0F0F5"/>
        <bgColor rgb="FFF0F0F5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  <fill>
      <patternFill patternType="solid">
        <fgColor rgb="FF0D7377"/>
        <bgColor rgb="FF0D7377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F5A623"/>
        <bgColor rgb="FFF5A623"/>
      </patternFill>
    </fill>
    <fill>
      <patternFill patternType="solid">
        <fgColor rgb="FF533483"/>
        <bgColor rgb="FF533483"/>
      </patternFill>
    </fill>
  </fills>
  <borders count="7">
    <border/>
    <border>
      <left/>
      <top/>
      <bottom/>
    </border>
    <border>
      <top/>
      <bottom/>
    </border>
    <border>
      <left style="thin">
        <color rgb="FFC0C0CC"/>
      </left>
      <right style="thin">
        <color rgb="FFC0C0CC"/>
      </right>
      <top style="thin">
        <color rgb="FFC0C0CC"/>
      </top>
      <bottom style="thin">
        <color rgb="FFC0C0CC"/>
      </bottom>
    </border>
    <border>
      <left style="thin">
        <color rgb="FFC0C0CC"/>
      </left>
      <top style="thin">
        <color rgb="FFC0C0CC"/>
      </top>
      <bottom style="thin">
        <color rgb="FFC0C0CC"/>
      </bottom>
    </border>
    <border>
      <top style="thin">
        <color rgb="FFC0C0CC"/>
      </top>
      <bottom style="thin">
        <color rgb="FFC0C0CC"/>
      </bottom>
    </border>
    <border>
      <right style="thin">
        <color rgb="FFC0C0CC"/>
      </right>
      <top style="thin">
        <color rgb="FFC0C0CC"/>
      </top>
      <bottom style="thin">
        <color rgb="FFC0C0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3" fillId="0" fontId="6" numFmtId="0" xfId="0" applyAlignment="1" applyBorder="1" applyFont="1">
      <alignment shrinkToFit="0" vertical="top" wrapText="1"/>
    </xf>
    <xf borderId="3" fillId="6" fontId="6" numFmtId="0" xfId="0" applyAlignment="1" applyBorder="1" applyFill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3" fillId="7" fontId="6" numFmtId="0" xfId="0" applyAlignment="1" applyBorder="1" applyFill="1" applyFont="1">
      <alignment shrinkToFit="0" vertical="top" wrapText="1"/>
    </xf>
    <xf borderId="3" fillId="8" fontId="6" numFmtId="0" xfId="0" applyAlignment="1" applyBorder="1" applyFill="1" applyFont="1">
      <alignment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3" fillId="9" fontId="6" numFmtId="0" xfId="0" applyAlignment="1" applyBorder="1" applyFill="1" applyFont="1">
      <alignment shrinkToFit="0" vertical="top" wrapText="1"/>
    </xf>
    <xf borderId="1" fillId="10" fontId="8" numFmtId="0" xfId="0" applyAlignment="1" applyBorder="1" applyFill="1" applyFont="1">
      <alignment horizontal="center" vertical="center"/>
    </xf>
    <xf borderId="3" fillId="11" fontId="6" numFmtId="0" xfId="0" applyAlignment="1" applyBorder="1" applyFill="1" applyFont="1">
      <alignment shrinkToFit="0" vertical="top" wrapText="1"/>
    </xf>
    <xf borderId="3" fillId="12" fontId="6" numFmtId="0" xfId="0" applyAlignment="1" applyBorder="1" applyFill="1" applyFont="1">
      <alignment shrinkToFit="0" vertical="top" wrapText="1"/>
    </xf>
    <xf borderId="1" fillId="13" fontId="8" numFmtId="0" xfId="0" applyAlignment="1" applyBorder="1" applyFill="1" applyFont="1">
      <alignment horizontal="center" vertical="center"/>
    </xf>
    <xf borderId="1" fillId="14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56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55.0"/>
    <col customWidth="1" min="4" max="4" width="12.0"/>
    <col customWidth="1" min="5" max="5" width="13.14"/>
    <col customWidth="1" min="6" max="6" width="12.0"/>
    <col customWidth="1" min="7" max="7" width="14.0"/>
    <col customWidth="1" min="8" max="8" width="17.43"/>
    <col customWidth="1" min="9" max="9" width="22.0"/>
    <col customWidth="1" min="10" max="10" width="35.0"/>
    <col customWidth="1" min="11" max="26" width="8.86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4.0" customHeight="1">
      <c r="A2" s="3" t="str">
        <f>CONCATENATE("✅ Done: ",COUNTIF(F:F,"✅ Done"),"  |  🔧 In Progress: ",COUNTIF(F:F,"🔧 In Progress"),"  |  ⬜ To Do: ",COUNTIF(F:F,"⬜ To Do"),"  |  🔴 Blocked: ",COUNTIF(F:F,"🔴 Blocked"))</f>
        <v>✅ Done: 25  |  🔧 In Progress: 0  |  ⬜ To Do: 27  |  🔴 Blocked: 0</v>
      </c>
      <c r="B2" s="2"/>
      <c r="C2" s="2"/>
      <c r="D2" s="2"/>
      <c r="E2" s="2"/>
      <c r="F2" s="2"/>
      <c r="G2" s="2"/>
      <c r="H2" s="2"/>
      <c r="I2" s="2"/>
      <c r="J2" s="2"/>
    </row>
    <row r="3" ht="19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ht="25.5" customHeight="1">
      <c r="A4" s="5" t="s">
        <v>11</v>
      </c>
      <c r="B4" s="6"/>
      <c r="C4" s="6"/>
      <c r="D4" s="6"/>
      <c r="E4" s="6"/>
      <c r="F4" s="6"/>
      <c r="G4" s="6"/>
      <c r="H4" s="6"/>
      <c r="I4" s="6"/>
      <c r="J4" s="7"/>
    </row>
    <row r="5" ht="36.0" customHeight="1">
      <c r="A5" s="8">
        <v>1.0</v>
      </c>
      <c r="B5" s="8" t="s">
        <v>12</v>
      </c>
      <c r="C5" s="8" t="s">
        <v>13</v>
      </c>
      <c r="D5" s="9" t="s">
        <v>14</v>
      </c>
      <c r="E5" s="10" t="s">
        <v>15</v>
      </c>
      <c r="F5" s="11" t="s">
        <v>16</v>
      </c>
      <c r="G5" s="8" t="s">
        <v>17</v>
      </c>
      <c r="H5" s="8" t="s">
        <v>18</v>
      </c>
      <c r="I5" s="8" t="s">
        <v>19</v>
      </c>
      <c r="J5" s="8" t="s">
        <v>20</v>
      </c>
    </row>
    <row r="6" ht="36.0" customHeight="1">
      <c r="A6" s="8">
        <v>2.0</v>
      </c>
      <c r="B6" s="8" t="s">
        <v>21</v>
      </c>
      <c r="C6" s="8" t="s">
        <v>22</v>
      </c>
      <c r="D6" s="12" t="s">
        <v>23</v>
      </c>
      <c r="E6" s="10" t="s">
        <v>15</v>
      </c>
      <c r="F6" s="11" t="s">
        <v>16</v>
      </c>
      <c r="G6" s="8" t="s">
        <v>17</v>
      </c>
      <c r="H6" s="8" t="s">
        <v>18</v>
      </c>
      <c r="I6" s="8" t="s">
        <v>24</v>
      </c>
      <c r="J6" s="8" t="s">
        <v>25</v>
      </c>
    </row>
    <row r="7" ht="36.0" customHeight="1">
      <c r="A7" s="8">
        <v>3.0</v>
      </c>
      <c r="B7" s="8" t="s">
        <v>26</v>
      </c>
      <c r="C7" s="8" t="s">
        <v>27</v>
      </c>
      <c r="D7" s="12" t="s">
        <v>23</v>
      </c>
      <c r="E7" s="10" t="s">
        <v>15</v>
      </c>
      <c r="F7" s="11" t="s">
        <v>16</v>
      </c>
      <c r="G7" s="8" t="s">
        <v>17</v>
      </c>
      <c r="H7" s="8" t="s">
        <v>18</v>
      </c>
      <c r="I7" s="8" t="s">
        <v>24</v>
      </c>
      <c r="J7" s="8" t="s">
        <v>28</v>
      </c>
    </row>
    <row r="8" ht="36.0" customHeight="1">
      <c r="A8" s="8">
        <v>4.0</v>
      </c>
      <c r="B8" s="8" t="s">
        <v>29</v>
      </c>
      <c r="C8" s="8" t="s">
        <v>30</v>
      </c>
      <c r="D8" s="9" t="s">
        <v>14</v>
      </c>
      <c r="E8" s="8" t="s">
        <v>31</v>
      </c>
      <c r="F8" s="13" t="s">
        <v>16</v>
      </c>
      <c r="G8" s="8" t="s">
        <v>17</v>
      </c>
      <c r="H8" s="8" t="s">
        <v>18</v>
      </c>
      <c r="I8" s="8" t="s">
        <v>24</v>
      </c>
      <c r="J8" s="8" t="s">
        <v>32</v>
      </c>
    </row>
    <row r="9" ht="36.0" customHeight="1">
      <c r="A9" s="8">
        <v>5.0</v>
      </c>
      <c r="B9" s="8" t="s">
        <v>29</v>
      </c>
      <c r="C9" s="8" t="s">
        <v>33</v>
      </c>
      <c r="D9" s="9" t="s">
        <v>14</v>
      </c>
      <c r="E9" s="8" t="s">
        <v>31</v>
      </c>
      <c r="F9" s="13" t="s">
        <v>16</v>
      </c>
      <c r="G9" s="8" t="s">
        <v>17</v>
      </c>
      <c r="H9" s="8" t="s">
        <v>18</v>
      </c>
      <c r="I9" s="8" t="s">
        <v>34</v>
      </c>
      <c r="J9" s="8" t="s">
        <v>35</v>
      </c>
    </row>
    <row r="10" ht="36.0" customHeight="1">
      <c r="A10" s="8">
        <v>6.0</v>
      </c>
      <c r="B10" s="8" t="s">
        <v>36</v>
      </c>
      <c r="C10" s="8" t="s">
        <v>37</v>
      </c>
      <c r="D10" s="12" t="s">
        <v>23</v>
      </c>
      <c r="E10" s="8" t="s">
        <v>31</v>
      </c>
      <c r="F10" s="11" t="s">
        <v>16</v>
      </c>
      <c r="G10" s="8" t="s">
        <v>17</v>
      </c>
      <c r="H10" s="8" t="s">
        <v>18</v>
      </c>
      <c r="I10" s="8" t="s">
        <v>38</v>
      </c>
      <c r="J10" s="8" t="s">
        <v>39</v>
      </c>
    </row>
    <row r="11" ht="25.5" customHeight="1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7"/>
    </row>
    <row r="12" ht="36.0" customHeight="1">
      <c r="A12" s="8">
        <v>7.0</v>
      </c>
      <c r="B12" s="8" t="s">
        <v>41</v>
      </c>
      <c r="C12" s="8" t="s">
        <v>42</v>
      </c>
      <c r="D12" s="12" t="s">
        <v>23</v>
      </c>
      <c r="E12" s="10" t="s">
        <v>15</v>
      </c>
      <c r="F12" s="8" t="s">
        <v>43</v>
      </c>
      <c r="G12" s="8" t="s">
        <v>44</v>
      </c>
      <c r="H12" s="8" t="s">
        <v>18</v>
      </c>
      <c r="I12" s="8" t="s">
        <v>45</v>
      </c>
      <c r="J12" s="8" t="s">
        <v>46</v>
      </c>
    </row>
    <row r="13" ht="36.0" customHeight="1">
      <c r="A13" s="8">
        <v>8.0</v>
      </c>
      <c r="B13" s="8" t="s">
        <v>41</v>
      </c>
      <c r="C13" s="8" t="s">
        <v>47</v>
      </c>
      <c r="D13" s="12" t="s">
        <v>23</v>
      </c>
      <c r="E13" s="10" t="s">
        <v>15</v>
      </c>
      <c r="F13" s="8" t="s">
        <v>43</v>
      </c>
      <c r="G13" s="8" t="s">
        <v>44</v>
      </c>
      <c r="H13" s="8" t="s">
        <v>48</v>
      </c>
      <c r="I13" s="8" t="s">
        <v>45</v>
      </c>
      <c r="J13" s="8"/>
    </row>
    <row r="14" ht="36.0" customHeight="1">
      <c r="A14" s="8">
        <v>9.0</v>
      </c>
      <c r="B14" s="8" t="s">
        <v>41</v>
      </c>
      <c r="C14" s="8" t="s">
        <v>49</v>
      </c>
      <c r="D14" s="12" t="s">
        <v>23</v>
      </c>
      <c r="E14" s="10" t="s">
        <v>15</v>
      </c>
      <c r="F14" s="8" t="s">
        <v>43</v>
      </c>
      <c r="G14" s="8" t="s">
        <v>44</v>
      </c>
      <c r="H14" s="8" t="s">
        <v>50</v>
      </c>
      <c r="I14" s="8" t="s">
        <v>45</v>
      </c>
      <c r="J14" s="8" t="s">
        <v>51</v>
      </c>
    </row>
    <row r="15" ht="36.0" customHeight="1">
      <c r="A15" s="8">
        <v>10.0</v>
      </c>
      <c r="B15" s="8" t="s">
        <v>52</v>
      </c>
      <c r="C15" s="8" t="s">
        <v>53</v>
      </c>
      <c r="D15" s="12" t="s">
        <v>23</v>
      </c>
      <c r="E15" s="8" t="s">
        <v>31</v>
      </c>
      <c r="F15" s="8" t="s">
        <v>43</v>
      </c>
      <c r="G15" s="8" t="s">
        <v>44</v>
      </c>
      <c r="H15" s="8" t="s">
        <v>54</v>
      </c>
      <c r="I15" s="8" t="s">
        <v>45</v>
      </c>
      <c r="J15" s="8"/>
    </row>
    <row r="16" ht="36.0" customHeight="1">
      <c r="A16" s="8">
        <v>11.0</v>
      </c>
      <c r="B16" s="8" t="s">
        <v>52</v>
      </c>
      <c r="C16" s="8" t="s">
        <v>55</v>
      </c>
      <c r="D16" s="12" t="s">
        <v>23</v>
      </c>
      <c r="E16" s="8" t="s">
        <v>31</v>
      </c>
      <c r="F16" s="8" t="s">
        <v>43</v>
      </c>
      <c r="G16" s="8" t="s">
        <v>44</v>
      </c>
      <c r="H16" s="8" t="s">
        <v>56</v>
      </c>
      <c r="I16" s="8" t="s">
        <v>45</v>
      </c>
      <c r="J16" s="8"/>
    </row>
    <row r="17" ht="36.0" customHeight="1">
      <c r="A17" s="8">
        <v>12.0</v>
      </c>
      <c r="B17" s="8" t="s">
        <v>52</v>
      </c>
      <c r="C17" s="8" t="s">
        <v>57</v>
      </c>
      <c r="D17" s="12" t="s">
        <v>23</v>
      </c>
      <c r="E17" s="8" t="s">
        <v>31</v>
      </c>
      <c r="F17" s="8" t="s">
        <v>43</v>
      </c>
      <c r="G17" s="8" t="s">
        <v>44</v>
      </c>
      <c r="H17" s="8" t="s">
        <v>58</v>
      </c>
      <c r="I17" s="8" t="s">
        <v>45</v>
      </c>
      <c r="J17" s="8"/>
    </row>
    <row r="18" ht="36.0" customHeight="1">
      <c r="A18" s="8">
        <v>13.0</v>
      </c>
      <c r="B18" s="8" t="s">
        <v>59</v>
      </c>
      <c r="C18" s="8" t="s">
        <v>60</v>
      </c>
      <c r="D18" s="9" t="s">
        <v>14</v>
      </c>
      <c r="E18" s="10" t="s">
        <v>15</v>
      </c>
      <c r="F18" s="8" t="s">
        <v>43</v>
      </c>
      <c r="G18" s="8" t="s">
        <v>44</v>
      </c>
      <c r="H18" s="8" t="s">
        <v>18</v>
      </c>
      <c r="I18" s="8" t="s">
        <v>45</v>
      </c>
      <c r="J18" s="8" t="s">
        <v>61</v>
      </c>
    </row>
    <row r="19" ht="36.0" customHeight="1">
      <c r="A19" s="8">
        <v>14.0</v>
      </c>
      <c r="B19" s="8" t="s">
        <v>59</v>
      </c>
      <c r="C19" s="8" t="s">
        <v>62</v>
      </c>
      <c r="D19" s="9" t="s">
        <v>14</v>
      </c>
      <c r="E19" s="8" t="s">
        <v>31</v>
      </c>
      <c r="F19" s="8" t="s">
        <v>43</v>
      </c>
      <c r="G19" s="8" t="s">
        <v>44</v>
      </c>
      <c r="H19" s="8" t="s">
        <v>18</v>
      </c>
      <c r="I19" s="8" t="s">
        <v>45</v>
      </c>
      <c r="J19" s="8"/>
    </row>
    <row r="20" ht="36.0" customHeight="1">
      <c r="A20" s="8">
        <v>15.0</v>
      </c>
      <c r="B20" s="8" t="s">
        <v>59</v>
      </c>
      <c r="C20" s="8" t="s">
        <v>63</v>
      </c>
      <c r="D20" s="9" t="s">
        <v>14</v>
      </c>
      <c r="E20" s="8" t="s">
        <v>31</v>
      </c>
      <c r="F20" s="8" t="s">
        <v>43</v>
      </c>
      <c r="G20" s="8" t="s">
        <v>44</v>
      </c>
      <c r="H20" s="8" t="s">
        <v>18</v>
      </c>
      <c r="I20" s="8" t="s">
        <v>45</v>
      </c>
      <c r="J20" s="8"/>
    </row>
    <row r="21" ht="36.0" customHeight="1">
      <c r="A21" s="8">
        <v>16.0</v>
      </c>
      <c r="B21" s="8" t="s">
        <v>59</v>
      </c>
      <c r="C21" s="8" t="s">
        <v>64</v>
      </c>
      <c r="D21" s="9" t="s">
        <v>14</v>
      </c>
      <c r="E21" s="8" t="s">
        <v>31</v>
      </c>
      <c r="F21" s="8" t="s">
        <v>43</v>
      </c>
      <c r="G21" s="8" t="s">
        <v>44</v>
      </c>
      <c r="H21" s="8" t="s">
        <v>18</v>
      </c>
      <c r="I21" s="8" t="s">
        <v>45</v>
      </c>
      <c r="J21" s="8"/>
    </row>
    <row r="22" ht="36.0" customHeight="1">
      <c r="A22" s="8">
        <v>17.0</v>
      </c>
      <c r="B22" s="8" t="s">
        <v>65</v>
      </c>
      <c r="C22" s="8" t="s">
        <v>66</v>
      </c>
      <c r="D22" s="14" t="s">
        <v>67</v>
      </c>
      <c r="E22" s="10" t="s">
        <v>15</v>
      </c>
      <c r="F22" s="8" t="s">
        <v>43</v>
      </c>
      <c r="G22" s="8" t="s">
        <v>44</v>
      </c>
      <c r="H22" s="8" t="s">
        <v>18</v>
      </c>
      <c r="I22" s="8" t="s">
        <v>45</v>
      </c>
      <c r="J22" s="8" t="s">
        <v>68</v>
      </c>
    </row>
    <row r="23" ht="36.0" customHeight="1">
      <c r="A23" s="8">
        <v>18.0</v>
      </c>
      <c r="B23" s="8" t="s">
        <v>65</v>
      </c>
      <c r="C23" s="8" t="s">
        <v>69</v>
      </c>
      <c r="D23" s="9" t="s">
        <v>14</v>
      </c>
      <c r="E23" s="10" t="s">
        <v>15</v>
      </c>
      <c r="F23" s="8" t="s">
        <v>43</v>
      </c>
      <c r="G23" s="8" t="s">
        <v>44</v>
      </c>
      <c r="H23" s="8" t="s">
        <v>70</v>
      </c>
      <c r="I23" s="8" t="s">
        <v>45</v>
      </c>
      <c r="J23" s="8" t="s">
        <v>71</v>
      </c>
    </row>
    <row r="24" ht="36.0" customHeight="1">
      <c r="A24" s="8">
        <v>19.0</v>
      </c>
      <c r="B24" s="8" t="s">
        <v>72</v>
      </c>
      <c r="C24" s="8" t="s">
        <v>73</v>
      </c>
      <c r="D24" s="12" t="s">
        <v>23</v>
      </c>
      <c r="E24" s="8" t="s">
        <v>31</v>
      </c>
      <c r="F24" s="13" t="s">
        <v>16</v>
      </c>
      <c r="G24" s="8" t="s">
        <v>44</v>
      </c>
      <c r="H24" s="8" t="s">
        <v>58</v>
      </c>
      <c r="I24" s="8" t="s">
        <v>45</v>
      </c>
      <c r="J24" s="8" t="s">
        <v>74</v>
      </c>
    </row>
    <row r="25" ht="36.0" customHeight="1">
      <c r="A25" s="8">
        <v>20.0</v>
      </c>
      <c r="B25" s="8" t="s">
        <v>72</v>
      </c>
      <c r="C25" s="8" t="s">
        <v>75</v>
      </c>
      <c r="D25" s="12" t="s">
        <v>23</v>
      </c>
      <c r="E25" s="8" t="s">
        <v>31</v>
      </c>
      <c r="F25" s="13" t="s">
        <v>16</v>
      </c>
      <c r="G25" s="8" t="s">
        <v>44</v>
      </c>
      <c r="H25" s="8" t="s">
        <v>48</v>
      </c>
      <c r="I25" s="8" t="s">
        <v>45</v>
      </c>
      <c r="J25" s="8"/>
    </row>
    <row r="26" ht="36.0" customHeight="1">
      <c r="A26" s="8">
        <v>21.0</v>
      </c>
      <c r="B26" s="8" t="s">
        <v>76</v>
      </c>
      <c r="C26" s="8" t="s">
        <v>77</v>
      </c>
      <c r="D26" s="14" t="s">
        <v>67</v>
      </c>
      <c r="E26" s="10" t="s">
        <v>15</v>
      </c>
      <c r="F26" s="8" t="s">
        <v>43</v>
      </c>
      <c r="G26" s="8" t="s">
        <v>78</v>
      </c>
      <c r="H26" s="8" t="s">
        <v>79</v>
      </c>
      <c r="I26" s="8" t="s">
        <v>45</v>
      </c>
      <c r="J26" s="8"/>
    </row>
    <row r="27" ht="36.0" customHeight="1">
      <c r="A27" s="8">
        <v>22.0</v>
      </c>
      <c r="B27" s="8" t="s">
        <v>76</v>
      </c>
      <c r="C27" s="8" t="s">
        <v>80</v>
      </c>
      <c r="D27" s="14" t="s">
        <v>67</v>
      </c>
      <c r="E27" s="10" t="s">
        <v>15</v>
      </c>
      <c r="F27" s="8" t="s">
        <v>43</v>
      </c>
      <c r="G27" s="8" t="s">
        <v>78</v>
      </c>
      <c r="H27" s="8" t="s">
        <v>81</v>
      </c>
      <c r="I27" s="8" t="s">
        <v>45</v>
      </c>
      <c r="J27" s="8" t="s">
        <v>82</v>
      </c>
    </row>
    <row r="28" ht="36.0" customHeight="1">
      <c r="A28" s="8">
        <v>23.0</v>
      </c>
      <c r="B28" s="8" t="s">
        <v>76</v>
      </c>
      <c r="C28" s="8" t="s">
        <v>83</v>
      </c>
      <c r="D28" s="14" t="s">
        <v>67</v>
      </c>
      <c r="E28" s="10" t="s">
        <v>15</v>
      </c>
      <c r="F28" s="8" t="s">
        <v>43</v>
      </c>
      <c r="G28" s="8" t="s">
        <v>78</v>
      </c>
      <c r="H28" s="8" t="s">
        <v>84</v>
      </c>
      <c r="I28" s="8" t="s">
        <v>45</v>
      </c>
      <c r="J28" s="8" t="s">
        <v>85</v>
      </c>
    </row>
    <row r="29" ht="36.0" customHeight="1">
      <c r="A29" s="8">
        <v>24.0</v>
      </c>
      <c r="B29" s="8" t="s">
        <v>86</v>
      </c>
      <c r="C29" s="8" t="s">
        <v>87</v>
      </c>
      <c r="D29" s="14" t="s">
        <v>67</v>
      </c>
      <c r="E29" s="10" t="s">
        <v>15</v>
      </c>
      <c r="F29" s="8" t="s">
        <v>43</v>
      </c>
      <c r="G29" s="8" t="s">
        <v>78</v>
      </c>
      <c r="H29" s="8" t="s">
        <v>88</v>
      </c>
      <c r="I29" s="8" t="s">
        <v>45</v>
      </c>
      <c r="J29" s="8" t="s">
        <v>89</v>
      </c>
    </row>
    <row r="30" ht="25.5" customHeight="1">
      <c r="A30" s="5" t="s">
        <v>90</v>
      </c>
      <c r="B30" s="6"/>
      <c r="C30" s="6"/>
      <c r="D30" s="6"/>
      <c r="E30" s="6"/>
      <c r="F30" s="6"/>
      <c r="G30" s="6"/>
      <c r="H30" s="6"/>
      <c r="I30" s="6"/>
      <c r="J30" s="7"/>
    </row>
    <row r="31" ht="36.0" customHeight="1">
      <c r="A31" s="8">
        <v>25.0</v>
      </c>
      <c r="B31" s="8" t="s">
        <v>91</v>
      </c>
      <c r="C31" s="8" t="s">
        <v>92</v>
      </c>
      <c r="D31" s="12" t="s">
        <v>23</v>
      </c>
      <c r="E31" s="8" t="s">
        <v>18</v>
      </c>
      <c r="F31" s="11" t="s">
        <v>16</v>
      </c>
      <c r="G31" s="8" t="s">
        <v>93</v>
      </c>
      <c r="H31" s="8" t="s">
        <v>18</v>
      </c>
      <c r="I31" s="8" t="s">
        <v>94</v>
      </c>
      <c r="J31" s="8" t="s">
        <v>95</v>
      </c>
    </row>
    <row r="32" ht="36.0" customHeight="1">
      <c r="A32" s="8">
        <v>26.0</v>
      </c>
      <c r="B32" s="8" t="s">
        <v>91</v>
      </c>
      <c r="C32" s="8" t="s">
        <v>96</v>
      </c>
      <c r="D32" s="12" t="s">
        <v>23</v>
      </c>
      <c r="E32" s="8" t="s">
        <v>18</v>
      </c>
      <c r="F32" s="11" t="s">
        <v>16</v>
      </c>
      <c r="G32" s="8" t="s">
        <v>93</v>
      </c>
      <c r="H32" s="8" t="s">
        <v>18</v>
      </c>
      <c r="I32" s="8" t="s">
        <v>94</v>
      </c>
      <c r="J32" s="8" t="s">
        <v>97</v>
      </c>
    </row>
    <row r="33" ht="36.0" customHeight="1">
      <c r="A33" s="8">
        <v>27.0</v>
      </c>
      <c r="B33" s="8" t="s">
        <v>98</v>
      </c>
      <c r="C33" s="8" t="s">
        <v>99</v>
      </c>
      <c r="D33" s="12" t="s">
        <v>23</v>
      </c>
      <c r="E33" s="8" t="s">
        <v>18</v>
      </c>
      <c r="F33" s="11" t="s">
        <v>16</v>
      </c>
      <c r="G33" s="8" t="s">
        <v>100</v>
      </c>
      <c r="H33" s="8" t="s">
        <v>18</v>
      </c>
      <c r="I33" s="8" t="s">
        <v>24</v>
      </c>
      <c r="J33" s="8" t="s">
        <v>101</v>
      </c>
    </row>
    <row r="34" ht="36.0" customHeight="1">
      <c r="A34" s="8">
        <v>28.0</v>
      </c>
      <c r="B34" s="8" t="s">
        <v>98</v>
      </c>
      <c r="C34" s="8" t="s">
        <v>102</v>
      </c>
      <c r="D34" s="12" t="s">
        <v>23</v>
      </c>
      <c r="E34" s="8" t="s">
        <v>18</v>
      </c>
      <c r="F34" s="11" t="s">
        <v>16</v>
      </c>
      <c r="G34" s="8" t="s">
        <v>100</v>
      </c>
      <c r="H34" s="8" t="s">
        <v>18</v>
      </c>
      <c r="I34" s="8" t="s">
        <v>24</v>
      </c>
      <c r="J34" s="8" t="s">
        <v>103</v>
      </c>
    </row>
    <row r="35" ht="36.0" customHeight="1">
      <c r="A35" s="8">
        <v>29.0</v>
      </c>
      <c r="B35" s="8" t="s">
        <v>98</v>
      </c>
      <c r="C35" s="8" t="s">
        <v>104</v>
      </c>
      <c r="D35" s="12" t="s">
        <v>23</v>
      </c>
      <c r="E35" s="8" t="s">
        <v>18</v>
      </c>
      <c r="F35" s="11" t="s">
        <v>16</v>
      </c>
      <c r="G35" s="8" t="s">
        <v>105</v>
      </c>
      <c r="H35" s="8" t="s">
        <v>18</v>
      </c>
      <c r="I35" s="8" t="s">
        <v>24</v>
      </c>
      <c r="J35" s="8" t="s">
        <v>106</v>
      </c>
    </row>
    <row r="36" ht="36.0" customHeight="1">
      <c r="A36" s="8">
        <v>30.0</v>
      </c>
      <c r="B36" s="8" t="s">
        <v>107</v>
      </c>
      <c r="C36" s="8" t="s">
        <v>108</v>
      </c>
      <c r="D36" s="12" t="s">
        <v>23</v>
      </c>
      <c r="E36" s="8" t="s">
        <v>18</v>
      </c>
      <c r="F36" s="11" t="s">
        <v>16</v>
      </c>
      <c r="G36" s="8" t="s">
        <v>100</v>
      </c>
      <c r="H36" s="8" t="s">
        <v>18</v>
      </c>
      <c r="I36" s="8" t="s">
        <v>24</v>
      </c>
      <c r="J36" s="8" t="s">
        <v>109</v>
      </c>
    </row>
    <row r="37" ht="36.0" customHeight="1">
      <c r="A37" s="8">
        <v>31.0</v>
      </c>
      <c r="B37" s="8" t="s">
        <v>110</v>
      </c>
      <c r="C37" s="8" t="s">
        <v>111</v>
      </c>
      <c r="D37" s="12" t="s">
        <v>23</v>
      </c>
      <c r="E37" s="8" t="s">
        <v>18</v>
      </c>
      <c r="F37" s="11" t="s">
        <v>16</v>
      </c>
      <c r="G37" s="8" t="s">
        <v>112</v>
      </c>
      <c r="H37" s="8" t="s">
        <v>18</v>
      </c>
      <c r="I37" s="8" t="s">
        <v>24</v>
      </c>
      <c r="J37" s="8" t="s">
        <v>113</v>
      </c>
    </row>
    <row r="38" ht="36.0" customHeight="1">
      <c r="A38" s="8">
        <v>32.0</v>
      </c>
      <c r="B38" s="8" t="s">
        <v>114</v>
      </c>
      <c r="C38" s="8" t="s">
        <v>115</v>
      </c>
      <c r="D38" s="12" t="s">
        <v>23</v>
      </c>
      <c r="E38" s="8" t="s">
        <v>18</v>
      </c>
      <c r="F38" s="11" t="s">
        <v>16</v>
      </c>
      <c r="G38" s="8" t="s">
        <v>116</v>
      </c>
      <c r="H38" s="8" t="s">
        <v>18</v>
      </c>
      <c r="I38" s="8" t="s">
        <v>24</v>
      </c>
      <c r="J38" s="8" t="s">
        <v>117</v>
      </c>
    </row>
    <row r="39" ht="36.0" customHeight="1">
      <c r="A39" s="8">
        <v>33.0</v>
      </c>
      <c r="B39" s="8" t="s">
        <v>118</v>
      </c>
      <c r="C39" s="8" t="s">
        <v>119</v>
      </c>
      <c r="D39" s="12" t="s">
        <v>23</v>
      </c>
      <c r="E39" s="8" t="s">
        <v>18</v>
      </c>
      <c r="F39" s="11" t="s">
        <v>16</v>
      </c>
      <c r="G39" s="8" t="s">
        <v>120</v>
      </c>
      <c r="H39" s="8" t="s">
        <v>18</v>
      </c>
      <c r="I39" s="8" t="s">
        <v>24</v>
      </c>
      <c r="J39" s="8" t="s">
        <v>121</v>
      </c>
    </row>
    <row r="40" ht="36.0" customHeight="1">
      <c r="A40" s="8">
        <v>34.0</v>
      </c>
      <c r="B40" s="8" t="s">
        <v>122</v>
      </c>
      <c r="C40" s="8" t="s">
        <v>123</v>
      </c>
      <c r="D40" s="12" t="s">
        <v>23</v>
      </c>
      <c r="E40" s="8" t="s">
        <v>18</v>
      </c>
      <c r="F40" s="11" t="s">
        <v>16</v>
      </c>
      <c r="G40" s="8" t="s">
        <v>120</v>
      </c>
      <c r="H40" s="8" t="s">
        <v>18</v>
      </c>
      <c r="I40" s="8" t="s">
        <v>24</v>
      </c>
      <c r="J40" s="8" t="s">
        <v>124</v>
      </c>
    </row>
    <row r="41" ht="36.0" customHeight="1">
      <c r="A41" s="8">
        <v>35.0</v>
      </c>
      <c r="B41" s="8" t="s">
        <v>98</v>
      </c>
      <c r="C41" s="8" t="s">
        <v>125</v>
      </c>
      <c r="D41" s="12" t="s">
        <v>23</v>
      </c>
      <c r="E41" s="8" t="s">
        <v>18</v>
      </c>
      <c r="F41" s="11" t="s">
        <v>16</v>
      </c>
      <c r="G41" s="8" t="s">
        <v>126</v>
      </c>
      <c r="H41" s="8" t="s">
        <v>18</v>
      </c>
      <c r="I41" s="8" t="s">
        <v>45</v>
      </c>
      <c r="J41" s="8" t="s">
        <v>127</v>
      </c>
    </row>
    <row r="42" ht="36.0" customHeight="1">
      <c r="A42" s="8">
        <v>36.0</v>
      </c>
      <c r="B42" s="8" t="s">
        <v>110</v>
      </c>
      <c r="C42" s="8" t="s">
        <v>128</v>
      </c>
      <c r="D42" s="12" t="s">
        <v>23</v>
      </c>
      <c r="E42" s="8" t="s">
        <v>18</v>
      </c>
      <c r="F42" s="11" t="s">
        <v>16</v>
      </c>
      <c r="G42" s="8" t="s">
        <v>129</v>
      </c>
      <c r="H42" s="8" t="s">
        <v>18</v>
      </c>
      <c r="I42" s="8" t="s">
        <v>45</v>
      </c>
      <c r="J42" s="8" t="s">
        <v>130</v>
      </c>
    </row>
    <row r="43" ht="36.0" customHeight="1">
      <c r="A43" s="8">
        <v>37.0</v>
      </c>
      <c r="B43" s="8" t="s">
        <v>110</v>
      </c>
      <c r="C43" s="8" t="s">
        <v>131</v>
      </c>
      <c r="D43" s="12" t="s">
        <v>23</v>
      </c>
      <c r="E43" s="8" t="s">
        <v>18</v>
      </c>
      <c r="F43" s="11" t="s">
        <v>16</v>
      </c>
      <c r="G43" s="8" t="s">
        <v>129</v>
      </c>
      <c r="H43" s="8" t="s">
        <v>18</v>
      </c>
      <c r="I43" s="8" t="s">
        <v>45</v>
      </c>
      <c r="J43" s="8" t="s">
        <v>132</v>
      </c>
    </row>
    <row r="44" ht="36.0" customHeight="1">
      <c r="A44" s="8">
        <v>38.0</v>
      </c>
      <c r="B44" s="8" t="s">
        <v>133</v>
      </c>
      <c r="C44" s="8" t="s">
        <v>134</v>
      </c>
      <c r="D44" s="12" t="s">
        <v>23</v>
      </c>
      <c r="E44" s="8" t="s">
        <v>18</v>
      </c>
      <c r="F44" s="11" t="s">
        <v>16</v>
      </c>
      <c r="G44" s="8" t="s">
        <v>120</v>
      </c>
      <c r="H44" s="8" t="s">
        <v>18</v>
      </c>
      <c r="I44" s="8" t="s">
        <v>24</v>
      </c>
      <c r="J44" s="8" t="s">
        <v>135</v>
      </c>
    </row>
    <row r="45" ht="25.5" customHeight="1">
      <c r="A45" s="5" t="s">
        <v>136</v>
      </c>
      <c r="B45" s="6"/>
      <c r="C45" s="6"/>
      <c r="D45" s="6"/>
      <c r="E45" s="6"/>
      <c r="F45" s="6"/>
      <c r="G45" s="6"/>
      <c r="H45" s="6"/>
      <c r="I45" s="6"/>
      <c r="J45" s="7"/>
    </row>
    <row r="46" ht="36.0" customHeight="1">
      <c r="A46" s="8">
        <v>39.0</v>
      </c>
      <c r="B46" s="8" t="s">
        <v>137</v>
      </c>
      <c r="C46" s="8" t="s">
        <v>138</v>
      </c>
      <c r="D46" s="14" t="s">
        <v>67</v>
      </c>
      <c r="E46" s="8" t="s">
        <v>31</v>
      </c>
      <c r="F46" s="8" t="s">
        <v>43</v>
      </c>
      <c r="G46" s="8" t="s">
        <v>139</v>
      </c>
      <c r="H46" s="8" t="s">
        <v>140</v>
      </c>
      <c r="I46" s="8" t="s">
        <v>141</v>
      </c>
      <c r="J46" s="8" t="s">
        <v>142</v>
      </c>
    </row>
    <row r="47" ht="36.0" customHeight="1">
      <c r="A47" s="8">
        <v>40.0</v>
      </c>
      <c r="B47" s="8" t="s">
        <v>137</v>
      </c>
      <c r="C47" s="8" t="s">
        <v>143</v>
      </c>
      <c r="D47" s="14" t="s">
        <v>67</v>
      </c>
      <c r="E47" s="8" t="s">
        <v>31</v>
      </c>
      <c r="F47" s="8" t="s">
        <v>43</v>
      </c>
      <c r="G47" s="8" t="s">
        <v>139</v>
      </c>
      <c r="H47" s="8" t="s">
        <v>144</v>
      </c>
      <c r="I47" s="8" t="s">
        <v>141</v>
      </c>
      <c r="J47" s="8" t="s">
        <v>145</v>
      </c>
    </row>
    <row r="48" ht="36.0" customHeight="1">
      <c r="A48" s="8">
        <v>41.0</v>
      </c>
      <c r="B48" s="8" t="s">
        <v>110</v>
      </c>
      <c r="C48" s="8" t="s">
        <v>146</v>
      </c>
      <c r="D48" s="8" t="s">
        <v>147</v>
      </c>
      <c r="E48" s="8" t="s">
        <v>148</v>
      </c>
      <c r="F48" s="8" t="s">
        <v>43</v>
      </c>
      <c r="G48" s="8" t="s">
        <v>149</v>
      </c>
      <c r="H48" s="8" t="s">
        <v>18</v>
      </c>
      <c r="I48" s="8" t="s">
        <v>150</v>
      </c>
      <c r="J48" s="8" t="s">
        <v>151</v>
      </c>
    </row>
    <row r="49" ht="36.0" customHeight="1">
      <c r="A49" s="8">
        <v>42.0</v>
      </c>
      <c r="B49" s="8" t="s">
        <v>133</v>
      </c>
      <c r="C49" s="8" t="s">
        <v>152</v>
      </c>
      <c r="D49" s="8" t="s">
        <v>147</v>
      </c>
      <c r="E49" s="8" t="s">
        <v>148</v>
      </c>
      <c r="F49" s="8" t="s">
        <v>43</v>
      </c>
      <c r="G49" s="8" t="s">
        <v>149</v>
      </c>
      <c r="H49" s="8" t="s">
        <v>18</v>
      </c>
      <c r="I49" s="8" t="s">
        <v>24</v>
      </c>
      <c r="J49" s="8" t="s">
        <v>153</v>
      </c>
    </row>
    <row r="50" ht="36.0" customHeight="1">
      <c r="A50" s="8">
        <v>43.0</v>
      </c>
      <c r="B50" s="8" t="s">
        <v>133</v>
      </c>
      <c r="C50" s="8" t="s">
        <v>154</v>
      </c>
      <c r="D50" s="8" t="s">
        <v>147</v>
      </c>
      <c r="E50" s="8" t="s">
        <v>148</v>
      </c>
      <c r="F50" s="8" t="s">
        <v>43</v>
      </c>
      <c r="G50" s="8" t="s">
        <v>149</v>
      </c>
      <c r="H50" s="8" t="s">
        <v>18</v>
      </c>
      <c r="I50" s="8" t="s">
        <v>150</v>
      </c>
      <c r="J50" s="8" t="s">
        <v>155</v>
      </c>
    </row>
    <row r="51" ht="36.0" customHeight="1">
      <c r="A51" s="8">
        <v>44.0</v>
      </c>
      <c r="B51" s="8" t="s">
        <v>133</v>
      </c>
      <c r="C51" s="8" t="s">
        <v>156</v>
      </c>
      <c r="D51" s="8" t="s">
        <v>147</v>
      </c>
      <c r="E51" s="8" t="s">
        <v>148</v>
      </c>
      <c r="F51" s="8" t="s">
        <v>43</v>
      </c>
      <c r="G51" s="8" t="s">
        <v>149</v>
      </c>
      <c r="H51" s="8" t="s">
        <v>18</v>
      </c>
      <c r="I51" s="8" t="s">
        <v>24</v>
      </c>
      <c r="J51" s="8" t="s">
        <v>157</v>
      </c>
    </row>
    <row r="52" ht="36.0" customHeight="1">
      <c r="A52" s="8">
        <v>45.0</v>
      </c>
      <c r="B52" s="8" t="s">
        <v>133</v>
      </c>
      <c r="C52" s="8" t="s">
        <v>158</v>
      </c>
      <c r="D52" s="8" t="s">
        <v>147</v>
      </c>
      <c r="E52" s="8" t="s">
        <v>148</v>
      </c>
      <c r="F52" s="8" t="s">
        <v>43</v>
      </c>
      <c r="G52" s="8" t="s">
        <v>149</v>
      </c>
      <c r="H52" s="8" t="s">
        <v>18</v>
      </c>
      <c r="I52" s="8" t="s">
        <v>24</v>
      </c>
      <c r="J52" s="8" t="s">
        <v>159</v>
      </c>
    </row>
    <row r="53" ht="36.0" customHeight="1">
      <c r="A53" s="8">
        <v>46.0</v>
      </c>
      <c r="B53" s="8" t="s">
        <v>110</v>
      </c>
      <c r="C53" s="8" t="s">
        <v>160</v>
      </c>
      <c r="D53" s="8" t="s">
        <v>147</v>
      </c>
      <c r="E53" s="8" t="s">
        <v>148</v>
      </c>
      <c r="F53" s="8" t="s">
        <v>43</v>
      </c>
      <c r="G53" s="8" t="s">
        <v>149</v>
      </c>
      <c r="H53" s="8" t="s">
        <v>18</v>
      </c>
      <c r="I53" s="8" t="s">
        <v>34</v>
      </c>
      <c r="J53" s="8" t="s">
        <v>161</v>
      </c>
    </row>
    <row r="54" ht="36.0" customHeight="1">
      <c r="A54" s="8">
        <v>47.0</v>
      </c>
      <c r="B54" s="8" t="s">
        <v>114</v>
      </c>
      <c r="C54" s="8" t="s">
        <v>162</v>
      </c>
      <c r="D54" s="12" t="s">
        <v>23</v>
      </c>
      <c r="E54" s="8" t="s">
        <v>163</v>
      </c>
      <c r="F54" s="13" t="s">
        <v>16</v>
      </c>
      <c r="G54" s="8" t="s">
        <v>149</v>
      </c>
      <c r="H54" s="8" t="s">
        <v>18</v>
      </c>
      <c r="I54" s="8" t="s">
        <v>45</v>
      </c>
      <c r="J54" s="8"/>
    </row>
    <row r="55" ht="36.0" customHeight="1">
      <c r="A55" s="8">
        <v>48.0</v>
      </c>
      <c r="B55" s="8" t="s">
        <v>114</v>
      </c>
      <c r="C55" s="8" t="s">
        <v>164</v>
      </c>
      <c r="D55" s="12" t="s">
        <v>23</v>
      </c>
      <c r="E55" s="8" t="s">
        <v>163</v>
      </c>
      <c r="F55" s="13" t="s">
        <v>16</v>
      </c>
      <c r="G55" s="8" t="s">
        <v>149</v>
      </c>
      <c r="H55" s="8" t="s">
        <v>18</v>
      </c>
      <c r="I55" s="8" t="s">
        <v>45</v>
      </c>
      <c r="J55" s="8"/>
    </row>
    <row r="56" ht="36.0" customHeight="1">
      <c r="A56" s="8">
        <v>49.0</v>
      </c>
      <c r="B56" s="8" t="s">
        <v>114</v>
      </c>
      <c r="C56" s="8" t="s">
        <v>165</v>
      </c>
      <c r="D56" s="12" t="s">
        <v>23</v>
      </c>
      <c r="E56" s="8" t="s">
        <v>163</v>
      </c>
      <c r="F56" s="13" t="s">
        <v>16</v>
      </c>
      <c r="G56" s="8" t="s">
        <v>149</v>
      </c>
      <c r="H56" s="8" t="s">
        <v>18</v>
      </c>
      <c r="I56" s="8" t="s">
        <v>45</v>
      </c>
      <c r="J56" s="8" t="s">
        <v>166</v>
      </c>
    </row>
    <row r="57" ht="36.0" customHeight="1">
      <c r="A57" s="8">
        <v>50.0</v>
      </c>
      <c r="B57" s="8" t="s">
        <v>114</v>
      </c>
      <c r="C57" s="8" t="s">
        <v>167</v>
      </c>
      <c r="D57" s="12" t="s">
        <v>23</v>
      </c>
      <c r="E57" s="8" t="s">
        <v>148</v>
      </c>
      <c r="F57" s="8" t="s">
        <v>43</v>
      </c>
      <c r="G57" s="8" t="s">
        <v>149</v>
      </c>
      <c r="H57" s="8" t="s">
        <v>18</v>
      </c>
      <c r="I57" s="8" t="s">
        <v>45</v>
      </c>
      <c r="J57" s="8" t="s">
        <v>168</v>
      </c>
    </row>
    <row r="58" ht="36.0" customHeight="1">
      <c r="A58" s="8">
        <v>51.0</v>
      </c>
      <c r="B58" s="8" t="s">
        <v>169</v>
      </c>
      <c r="C58" s="8" t="s">
        <v>170</v>
      </c>
      <c r="D58" s="14" t="s">
        <v>67</v>
      </c>
      <c r="E58" s="8" t="s">
        <v>31</v>
      </c>
      <c r="F58" s="8" t="s">
        <v>43</v>
      </c>
      <c r="G58" s="8" t="s">
        <v>169</v>
      </c>
      <c r="H58" s="8" t="s">
        <v>144</v>
      </c>
      <c r="I58" s="8" t="s">
        <v>34</v>
      </c>
      <c r="J58" s="8" t="s">
        <v>171</v>
      </c>
    </row>
    <row r="59" ht="36.0" customHeight="1">
      <c r="A59" s="8">
        <v>52.0</v>
      </c>
      <c r="B59" s="8" t="s">
        <v>169</v>
      </c>
      <c r="C59" s="8" t="s">
        <v>172</v>
      </c>
      <c r="D59" s="8" t="s">
        <v>147</v>
      </c>
      <c r="E59" s="8" t="s">
        <v>148</v>
      </c>
      <c r="F59" s="8" t="s">
        <v>43</v>
      </c>
      <c r="G59" s="8" t="s">
        <v>169</v>
      </c>
      <c r="H59" s="8" t="s">
        <v>18</v>
      </c>
      <c r="I59" s="8" t="s">
        <v>24</v>
      </c>
      <c r="J59" s="8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J$3"/>
  <mergeCells count="6">
    <mergeCell ref="A1:J1"/>
    <mergeCell ref="A2:J2"/>
    <mergeCell ref="A4:J4"/>
    <mergeCell ref="A11:J11"/>
    <mergeCell ref="A30:J30"/>
    <mergeCell ref="A45:J45"/>
  </mergeCells>
  <conditionalFormatting sqref="F4:F1000">
    <cfRule type="cellIs" dxfId="0" priority="1" operator="equal">
      <formula>"✅ Done"</formula>
    </cfRule>
  </conditionalFormatting>
  <conditionalFormatting sqref="F4:F1000">
    <cfRule type="cellIs" dxfId="1" priority="2" operator="equal">
      <formula>"🔧 In Progress"</formula>
    </cfRule>
  </conditionalFormatting>
  <conditionalFormatting sqref="F4:F1000">
    <cfRule type="cellIs" dxfId="2" priority="3" operator="equal">
      <formula>"⬜ To Do"</formula>
    </cfRule>
  </conditionalFormatting>
  <conditionalFormatting sqref="F4:F1000">
    <cfRule type="cellIs" dxfId="3" priority="4" operator="equal">
      <formula>"🔴 Blocked"</formula>
    </cfRule>
  </conditionalFormatting>
  <dataValidations>
    <dataValidation type="list" allowBlank="1" sqref="F5:F10 F12:F29 F31:F44 F46:F59">
      <formula1>"⬜ To Do,🔧 In Progress,✅ Done,🔴 Blocked"</formula1>
    </dataValidation>
    <dataValidation type="list" allowBlank="1" sqref="E5:E10 E12:E29 E31:E44 E46:E59">
      <formula1>"🔴 P1 Critical,🟡 P2 Important,🟢 P3 Nice-to-have,⚪ Parked"</formula1>
    </dataValidation>
    <dataValidation type="list" allowBlank="1" sqref="D5:D10 D12:D29 D31:D44 D46:D59">
      <formula1>"Henna,Andrea,Together,Either"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737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2.0"/>
    <col customWidth="1" min="3" max="3" width="8.0"/>
    <col customWidth="1" min="4" max="4" width="35.0"/>
    <col customWidth="1" min="5" max="5" width="25.0"/>
    <col customWidth="1" min="6" max="7" width="12.0"/>
    <col customWidth="1" min="8" max="8" width="25.0"/>
    <col customWidth="1" min="9" max="26" width="8.86"/>
  </cols>
  <sheetData>
    <row r="1" ht="27.75" customHeight="1">
      <c r="A1" s="15" t="s">
        <v>173</v>
      </c>
      <c r="B1" s="2"/>
      <c r="C1" s="2"/>
      <c r="D1" s="2"/>
      <c r="E1" s="2"/>
      <c r="F1" s="2"/>
      <c r="G1" s="2"/>
      <c r="H1" s="2"/>
    </row>
    <row r="2" ht="14.25" customHeight="1">
      <c r="A2" s="4" t="s">
        <v>174</v>
      </c>
      <c r="B2" s="4" t="s">
        <v>175</v>
      </c>
      <c r="C2" s="4" t="s">
        <v>176</v>
      </c>
      <c r="D2" s="4" t="s">
        <v>177</v>
      </c>
      <c r="E2" s="4" t="s">
        <v>9</v>
      </c>
      <c r="F2" s="4" t="s">
        <v>178</v>
      </c>
      <c r="G2" s="4" t="s">
        <v>6</v>
      </c>
      <c r="H2" s="4" t="s">
        <v>179</v>
      </c>
    </row>
    <row r="3" ht="24.0" customHeight="1">
      <c r="A3" s="5" t="s">
        <v>180</v>
      </c>
      <c r="B3" s="6"/>
      <c r="C3" s="6"/>
      <c r="D3" s="6"/>
      <c r="E3" s="6"/>
      <c r="F3" s="6"/>
      <c r="G3" s="6"/>
      <c r="H3" s="7"/>
    </row>
    <row r="4" ht="21.75" customHeight="1">
      <c r="A4" s="8" t="s">
        <v>181</v>
      </c>
      <c r="B4" s="8" t="s">
        <v>182</v>
      </c>
      <c r="C4" s="8">
        <v>194.0</v>
      </c>
      <c r="D4" s="8" t="s">
        <v>183</v>
      </c>
      <c r="E4" s="8" t="s">
        <v>184</v>
      </c>
      <c r="F4" s="8" t="s">
        <v>185</v>
      </c>
      <c r="G4" s="11" t="s">
        <v>186</v>
      </c>
      <c r="H4" s="8" t="s">
        <v>187</v>
      </c>
    </row>
    <row r="5" ht="21.75" customHeight="1">
      <c r="A5" s="8" t="s">
        <v>188</v>
      </c>
      <c r="B5" s="8" t="s">
        <v>189</v>
      </c>
      <c r="C5" s="8">
        <v>194.0</v>
      </c>
      <c r="D5" s="8" t="s">
        <v>190</v>
      </c>
      <c r="E5" s="8" t="s">
        <v>191</v>
      </c>
      <c r="F5" s="8" t="s">
        <v>192</v>
      </c>
      <c r="G5" s="11" t="s">
        <v>186</v>
      </c>
      <c r="H5" s="8" t="s">
        <v>98</v>
      </c>
    </row>
    <row r="6" ht="21.75" customHeight="1">
      <c r="A6" s="8" t="s">
        <v>193</v>
      </c>
      <c r="B6" s="8" t="s">
        <v>194</v>
      </c>
      <c r="C6" s="8">
        <v>109.0</v>
      </c>
      <c r="D6" s="8" t="s">
        <v>195</v>
      </c>
      <c r="E6" s="8" t="s">
        <v>196</v>
      </c>
      <c r="F6" s="8" t="s">
        <v>192</v>
      </c>
      <c r="G6" s="11" t="s">
        <v>186</v>
      </c>
      <c r="H6" s="8" t="s">
        <v>65</v>
      </c>
    </row>
    <row r="7" ht="21.75" customHeight="1">
      <c r="A7" s="8" t="s">
        <v>197</v>
      </c>
      <c r="B7" s="8" t="s">
        <v>198</v>
      </c>
      <c r="C7" s="8">
        <v>194.0</v>
      </c>
      <c r="D7" s="8" t="s">
        <v>199</v>
      </c>
      <c r="E7" s="8" t="s">
        <v>200</v>
      </c>
      <c r="F7" s="8" t="s">
        <v>93</v>
      </c>
      <c r="G7" s="11" t="s">
        <v>186</v>
      </c>
      <c r="H7" s="8" t="s">
        <v>201</v>
      </c>
    </row>
    <row r="8" ht="21.75" customHeight="1">
      <c r="A8" s="8" t="s">
        <v>202</v>
      </c>
      <c r="B8" s="8" t="s">
        <v>203</v>
      </c>
      <c r="C8" s="8">
        <v>81.0</v>
      </c>
      <c r="D8" s="8" t="s">
        <v>204</v>
      </c>
      <c r="E8" s="8" t="s">
        <v>205</v>
      </c>
      <c r="F8" s="8" t="s">
        <v>192</v>
      </c>
      <c r="G8" s="11" t="s">
        <v>186</v>
      </c>
      <c r="H8" s="8" t="s">
        <v>201</v>
      </c>
    </row>
    <row r="9" ht="21.75" customHeight="1">
      <c r="A9" s="8" t="s">
        <v>206</v>
      </c>
      <c r="B9" s="8" t="s">
        <v>207</v>
      </c>
      <c r="C9" s="8">
        <v>68.0</v>
      </c>
      <c r="D9" s="8" t="s">
        <v>208</v>
      </c>
      <c r="E9" s="8" t="s">
        <v>196</v>
      </c>
      <c r="F9" s="8" t="s">
        <v>93</v>
      </c>
      <c r="G9" s="11" t="s">
        <v>186</v>
      </c>
      <c r="H9" s="8" t="s">
        <v>201</v>
      </c>
    </row>
    <row r="10" ht="21.75" customHeight="1">
      <c r="A10" s="8" t="s">
        <v>209</v>
      </c>
      <c r="B10" s="8" t="s">
        <v>210</v>
      </c>
      <c r="C10" s="8">
        <v>109.0</v>
      </c>
      <c r="D10" s="8" t="s">
        <v>211</v>
      </c>
      <c r="E10" s="8" t="s">
        <v>196</v>
      </c>
      <c r="F10" s="8" t="s">
        <v>93</v>
      </c>
      <c r="G10" s="11" t="s">
        <v>186</v>
      </c>
      <c r="H10" s="8" t="s">
        <v>65</v>
      </c>
    </row>
    <row r="11" ht="21.75" customHeight="1">
      <c r="A11" s="8" t="s">
        <v>212</v>
      </c>
      <c r="B11" s="8" t="s">
        <v>213</v>
      </c>
      <c r="C11" s="8">
        <v>63.0</v>
      </c>
      <c r="D11" s="8" t="s">
        <v>214</v>
      </c>
      <c r="E11" s="8" t="s">
        <v>196</v>
      </c>
      <c r="F11" s="8" t="s">
        <v>93</v>
      </c>
      <c r="G11" s="11" t="s">
        <v>186</v>
      </c>
      <c r="H11" s="8" t="s">
        <v>215</v>
      </c>
    </row>
    <row r="12" ht="21.75" customHeight="1">
      <c r="A12" s="8" t="s">
        <v>216</v>
      </c>
      <c r="B12" s="8" t="s">
        <v>217</v>
      </c>
      <c r="C12" s="8">
        <v>68.0</v>
      </c>
      <c r="D12" s="8" t="s">
        <v>218</v>
      </c>
      <c r="E12" s="8" t="s">
        <v>200</v>
      </c>
      <c r="F12" s="8" t="s">
        <v>219</v>
      </c>
      <c r="G12" s="11" t="s">
        <v>186</v>
      </c>
      <c r="H12" s="8" t="s">
        <v>201</v>
      </c>
    </row>
    <row r="13" ht="24.0" customHeight="1">
      <c r="A13" s="5" t="s">
        <v>220</v>
      </c>
      <c r="B13" s="6"/>
      <c r="C13" s="6"/>
      <c r="D13" s="6"/>
      <c r="E13" s="6"/>
      <c r="F13" s="6"/>
      <c r="G13" s="6"/>
      <c r="H13" s="7"/>
    </row>
    <row r="14" ht="21.75" customHeight="1">
      <c r="A14" s="8" t="s">
        <v>221</v>
      </c>
      <c r="B14" s="8" t="s">
        <v>222</v>
      </c>
      <c r="C14" s="8">
        <v>49.0</v>
      </c>
      <c r="D14" s="8" t="s">
        <v>223</v>
      </c>
      <c r="E14" s="8" t="s">
        <v>224</v>
      </c>
      <c r="F14" s="8" t="s">
        <v>93</v>
      </c>
      <c r="G14" s="11" t="s">
        <v>186</v>
      </c>
      <c r="H14" s="8" t="s">
        <v>201</v>
      </c>
    </row>
    <row r="15" ht="21.75" customHeight="1">
      <c r="A15" s="8" t="s">
        <v>225</v>
      </c>
      <c r="B15" s="8" t="s">
        <v>226</v>
      </c>
      <c r="C15" s="8">
        <v>174.0</v>
      </c>
      <c r="D15" s="8" t="s">
        <v>227</v>
      </c>
      <c r="E15" s="8" t="s">
        <v>224</v>
      </c>
      <c r="F15" s="8" t="s">
        <v>93</v>
      </c>
      <c r="G15" s="11" t="s">
        <v>186</v>
      </c>
      <c r="H15" s="8" t="s">
        <v>228</v>
      </c>
    </row>
    <row r="16" ht="21.75" customHeight="1">
      <c r="A16" s="8" t="s">
        <v>229</v>
      </c>
      <c r="B16" s="8" t="s">
        <v>230</v>
      </c>
      <c r="C16" s="8" t="s">
        <v>231</v>
      </c>
      <c r="D16" s="8" t="s">
        <v>232</v>
      </c>
      <c r="E16" s="8" t="s">
        <v>233</v>
      </c>
      <c r="F16" s="8" t="s">
        <v>219</v>
      </c>
      <c r="G16" s="11" t="s">
        <v>186</v>
      </c>
      <c r="H16" s="8" t="s">
        <v>201</v>
      </c>
    </row>
    <row r="17" ht="21.75" customHeight="1">
      <c r="A17" s="8" t="s">
        <v>234</v>
      </c>
      <c r="B17" s="8" t="s">
        <v>235</v>
      </c>
      <c r="C17" s="8">
        <v>49.0</v>
      </c>
      <c r="D17" s="8" t="s">
        <v>236</v>
      </c>
      <c r="E17" s="8" t="s">
        <v>224</v>
      </c>
      <c r="F17" s="8" t="s">
        <v>219</v>
      </c>
      <c r="G17" s="11" t="s">
        <v>186</v>
      </c>
      <c r="H17" s="8" t="s">
        <v>237</v>
      </c>
    </row>
    <row r="18" ht="21.75" customHeight="1">
      <c r="A18" s="8" t="s">
        <v>238</v>
      </c>
      <c r="B18" s="8" t="s">
        <v>239</v>
      </c>
      <c r="C18" s="8">
        <v>49.0</v>
      </c>
      <c r="D18" s="8" t="s">
        <v>240</v>
      </c>
      <c r="E18" s="8" t="s">
        <v>224</v>
      </c>
      <c r="F18" s="8" t="s">
        <v>219</v>
      </c>
      <c r="G18" s="11" t="s">
        <v>186</v>
      </c>
      <c r="H18" s="8" t="s">
        <v>241</v>
      </c>
    </row>
    <row r="19" ht="24.0" customHeight="1">
      <c r="A19" s="5" t="s">
        <v>242</v>
      </c>
      <c r="B19" s="6"/>
      <c r="C19" s="6"/>
      <c r="D19" s="6"/>
      <c r="E19" s="6"/>
      <c r="F19" s="6"/>
      <c r="G19" s="6"/>
      <c r="H19" s="7"/>
    </row>
    <row r="20" ht="21.75" customHeight="1">
      <c r="A20" s="8" t="s">
        <v>243</v>
      </c>
      <c r="B20" s="8" t="s">
        <v>244</v>
      </c>
      <c r="C20" s="8">
        <v>49.0</v>
      </c>
      <c r="D20" s="8" t="s">
        <v>245</v>
      </c>
      <c r="E20" s="8" t="s">
        <v>246</v>
      </c>
      <c r="F20" s="8" t="s">
        <v>219</v>
      </c>
      <c r="G20" s="11" t="s">
        <v>186</v>
      </c>
      <c r="H20" s="8" t="s">
        <v>247</v>
      </c>
    </row>
    <row r="21" ht="21.75" customHeight="1">
      <c r="A21" s="8" t="s">
        <v>248</v>
      </c>
      <c r="B21" s="8" t="s">
        <v>249</v>
      </c>
      <c r="C21" s="8">
        <v>49.0</v>
      </c>
      <c r="D21" s="8" t="s">
        <v>250</v>
      </c>
      <c r="E21" s="8" t="s">
        <v>246</v>
      </c>
      <c r="F21" s="8" t="s">
        <v>219</v>
      </c>
      <c r="G21" s="11" t="s">
        <v>186</v>
      </c>
      <c r="H21" s="8" t="s">
        <v>251</v>
      </c>
    </row>
    <row r="22" ht="21.75" customHeight="1">
      <c r="A22" s="8" t="s">
        <v>252</v>
      </c>
      <c r="B22" s="8" t="s">
        <v>253</v>
      </c>
      <c r="C22" s="8">
        <v>49.0</v>
      </c>
      <c r="D22" s="8" t="s">
        <v>254</v>
      </c>
      <c r="E22" s="8" t="s">
        <v>246</v>
      </c>
      <c r="F22" s="8" t="s">
        <v>219</v>
      </c>
      <c r="G22" s="11" t="s">
        <v>186</v>
      </c>
      <c r="H22" s="8" t="s">
        <v>255</v>
      </c>
    </row>
    <row r="23" ht="21.75" customHeight="1">
      <c r="A23" s="8" t="s">
        <v>256</v>
      </c>
      <c r="B23" s="8" t="s">
        <v>257</v>
      </c>
      <c r="C23" s="8">
        <v>618.0</v>
      </c>
      <c r="D23" s="8" t="s">
        <v>258</v>
      </c>
      <c r="E23" s="8" t="s">
        <v>224</v>
      </c>
      <c r="F23" s="8" t="s">
        <v>219</v>
      </c>
      <c r="G23" s="11" t="s">
        <v>186</v>
      </c>
      <c r="H23" s="8" t="s">
        <v>259</v>
      </c>
    </row>
    <row r="24" ht="21.75" customHeight="1">
      <c r="A24" s="8" t="s">
        <v>260</v>
      </c>
      <c r="B24" s="8" t="s">
        <v>261</v>
      </c>
      <c r="C24" s="8">
        <v>35.0</v>
      </c>
      <c r="D24" s="8" t="s">
        <v>262</v>
      </c>
      <c r="E24" s="8" t="s">
        <v>246</v>
      </c>
      <c r="F24" s="8" t="s">
        <v>219</v>
      </c>
      <c r="G24" s="11" t="s">
        <v>186</v>
      </c>
      <c r="H24" s="8"/>
    </row>
    <row r="25" ht="21.75" customHeight="1">
      <c r="A25" s="8" t="s">
        <v>263</v>
      </c>
      <c r="B25" s="8" t="s">
        <v>264</v>
      </c>
      <c r="C25" s="8">
        <v>49.0</v>
      </c>
      <c r="D25" s="8" t="s">
        <v>265</v>
      </c>
      <c r="E25" s="8" t="s">
        <v>246</v>
      </c>
      <c r="F25" s="8" t="s">
        <v>219</v>
      </c>
      <c r="G25" s="11" t="s">
        <v>186</v>
      </c>
      <c r="H25" s="8"/>
    </row>
    <row r="26" ht="21.75" customHeight="1">
      <c r="A26" s="8" t="s">
        <v>266</v>
      </c>
      <c r="B26" s="8" t="s">
        <v>267</v>
      </c>
      <c r="C26" s="8">
        <v>49.0</v>
      </c>
      <c r="D26" s="8" t="s">
        <v>268</v>
      </c>
      <c r="E26" s="8" t="s">
        <v>269</v>
      </c>
      <c r="F26" s="8" t="s">
        <v>219</v>
      </c>
      <c r="G26" s="11" t="s">
        <v>186</v>
      </c>
      <c r="H26" s="8" t="s">
        <v>270</v>
      </c>
    </row>
    <row r="27" ht="21.75" customHeight="1">
      <c r="A27" s="8" t="s">
        <v>271</v>
      </c>
      <c r="B27" s="8" t="s">
        <v>272</v>
      </c>
      <c r="C27" s="8">
        <v>49.0</v>
      </c>
      <c r="D27" s="8" t="s">
        <v>273</v>
      </c>
      <c r="E27" s="8" t="s">
        <v>274</v>
      </c>
      <c r="F27" s="8" t="s">
        <v>219</v>
      </c>
      <c r="G27" s="11" t="s">
        <v>186</v>
      </c>
      <c r="H27" s="8" t="s">
        <v>275</v>
      </c>
    </row>
    <row r="28" ht="21.75" customHeight="1">
      <c r="A28" s="8" t="s">
        <v>276</v>
      </c>
      <c r="B28" s="8" t="s">
        <v>277</v>
      </c>
      <c r="C28" s="8">
        <v>49.0</v>
      </c>
      <c r="D28" s="8" t="s">
        <v>278</v>
      </c>
      <c r="E28" s="8" t="s">
        <v>246</v>
      </c>
      <c r="F28" s="8" t="s">
        <v>219</v>
      </c>
      <c r="G28" s="11" t="s">
        <v>186</v>
      </c>
      <c r="H28" s="8" t="s">
        <v>275</v>
      </c>
    </row>
    <row r="29" ht="24.0" customHeight="1">
      <c r="A29" s="5" t="s">
        <v>279</v>
      </c>
      <c r="B29" s="6"/>
      <c r="C29" s="6"/>
      <c r="D29" s="6"/>
      <c r="E29" s="6"/>
      <c r="F29" s="6"/>
      <c r="G29" s="6"/>
      <c r="H29" s="7"/>
    </row>
    <row r="30" ht="21.75" customHeight="1">
      <c r="A30" s="8" t="s">
        <v>280</v>
      </c>
      <c r="B30" s="8" t="s">
        <v>281</v>
      </c>
      <c r="C30" s="8">
        <v>37.0</v>
      </c>
      <c r="D30" s="8" t="s">
        <v>282</v>
      </c>
      <c r="E30" s="8" t="s">
        <v>196</v>
      </c>
      <c r="F30" s="8" t="s">
        <v>219</v>
      </c>
      <c r="G30" s="11" t="s">
        <v>186</v>
      </c>
      <c r="H30" s="8" t="s">
        <v>283</v>
      </c>
    </row>
    <row r="31" ht="21.75" customHeight="1">
      <c r="A31" s="8" t="s">
        <v>284</v>
      </c>
      <c r="B31" s="8" t="s">
        <v>285</v>
      </c>
      <c r="C31" s="8">
        <v>71.0</v>
      </c>
      <c r="D31" s="8" t="s">
        <v>286</v>
      </c>
      <c r="E31" s="8" t="s">
        <v>196</v>
      </c>
      <c r="F31" s="8" t="s">
        <v>219</v>
      </c>
      <c r="G31" s="11" t="s">
        <v>186</v>
      </c>
      <c r="H31" s="8" t="s">
        <v>287</v>
      </c>
    </row>
    <row r="32" ht="24.0" customHeight="1">
      <c r="A32" s="5" t="s">
        <v>288</v>
      </c>
      <c r="B32" s="6"/>
      <c r="C32" s="6"/>
      <c r="D32" s="6"/>
      <c r="E32" s="6"/>
      <c r="F32" s="6"/>
      <c r="G32" s="6"/>
      <c r="H32" s="7"/>
    </row>
    <row r="33" ht="21.75" customHeight="1">
      <c r="A33" s="8" t="s">
        <v>289</v>
      </c>
      <c r="B33" s="8" t="s">
        <v>290</v>
      </c>
      <c r="C33" s="8">
        <v>63.0</v>
      </c>
      <c r="D33" s="8" t="s">
        <v>291</v>
      </c>
      <c r="E33" s="8" t="s">
        <v>292</v>
      </c>
      <c r="F33" s="8" t="s">
        <v>219</v>
      </c>
      <c r="G33" s="11" t="s">
        <v>186</v>
      </c>
      <c r="H33" s="8" t="s">
        <v>293</v>
      </c>
    </row>
    <row r="34" ht="21.75" customHeight="1">
      <c r="A34" s="8" t="s">
        <v>294</v>
      </c>
      <c r="B34" s="8" t="s">
        <v>295</v>
      </c>
      <c r="C34" s="8" t="s">
        <v>296</v>
      </c>
      <c r="D34" s="8" t="s">
        <v>297</v>
      </c>
      <c r="E34" s="8" t="s">
        <v>298</v>
      </c>
      <c r="F34" s="8" t="s">
        <v>192</v>
      </c>
      <c r="G34" s="11" t="s">
        <v>186</v>
      </c>
      <c r="H34" s="8" t="s">
        <v>299</v>
      </c>
    </row>
    <row r="35" ht="21.75" customHeight="1">
      <c r="A35" s="8" t="s">
        <v>300</v>
      </c>
      <c r="B35" s="8" t="s">
        <v>301</v>
      </c>
      <c r="C35" s="8">
        <v>15.0</v>
      </c>
      <c r="D35" s="8" t="s">
        <v>302</v>
      </c>
      <c r="E35" s="8" t="s">
        <v>303</v>
      </c>
      <c r="F35" s="8" t="s">
        <v>192</v>
      </c>
      <c r="G35" s="11" t="s">
        <v>186</v>
      </c>
      <c r="H35" s="8" t="s">
        <v>293</v>
      </c>
    </row>
    <row r="36" ht="21.75" customHeight="1">
      <c r="A36" s="8" t="s">
        <v>304</v>
      </c>
      <c r="B36" s="8" t="s">
        <v>305</v>
      </c>
      <c r="C36" s="8" t="s">
        <v>18</v>
      </c>
      <c r="D36" s="8" t="s">
        <v>306</v>
      </c>
      <c r="E36" s="8" t="s">
        <v>307</v>
      </c>
      <c r="F36" s="8" t="s">
        <v>219</v>
      </c>
      <c r="G36" s="11" t="s">
        <v>186</v>
      </c>
      <c r="H36" s="8" t="s">
        <v>308</v>
      </c>
    </row>
    <row r="37" ht="24.0" customHeight="1">
      <c r="A37" s="5" t="s">
        <v>309</v>
      </c>
      <c r="B37" s="6"/>
      <c r="C37" s="6"/>
      <c r="D37" s="6"/>
      <c r="E37" s="6"/>
      <c r="F37" s="6"/>
      <c r="G37" s="6"/>
      <c r="H37" s="7"/>
    </row>
    <row r="38" ht="21.75" customHeight="1">
      <c r="A38" s="8" t="s">
        <v>310</v>
      </c>
      <c r="B38" s="8" t="s">
        <v>311</v>
      </c>
      <c r="C38" s="8">
        <v>40.0</v>
      </c>
      <c r="D38" s="8" t="s">
        <v>312</v>
      </c>
      <c r="E38" s="8" t="s">
        <v>313</v>
      </c>
      <c r="F38" s="8" t="s">
        <v>314</v>
      </c>
      <c r="G38" s="16" t="s">
        <v>315</v>
      </c>
      <c r="H38" s="8" t="s">
        <v>316</v>
      </c>
    </row>
    <row r="39" ht="21.75" customHeight="1">
      <c r="A39" s="8" t="s">
        <v>317</v>
      </c>
      <c r="B39" s="8" t="s">
        <v>318</v>
      </c>
      <c r="C39" s="8">
        <v>54.0</v>
      </c>
      <c r="D39" s="8" t="s">
        <v>319</v>
      </c>
      <c r="E39" s="8" t="s">
        <v>313</v>
      </c>
      <c r="F39" s="8" t="s">
        <v>314</v>
      </c>
      <c r="G39" s="16" t="s">
        <v>315</v>
      </c>
      <c r="H39" s="8" t="s">
        <v>316</v>
      </c>
    </row>
    <row r="40" ht="21.75" customHeight="1">
      <c r="A40" s="8" t="s">
        <v>320</v>
      </c>
      <c r="B40" s="8" t="s">
        <v>321</v>
      </c>
      <c r="C40" s="8">
        <v>109.0</v>
      </c>
      <c r="D40" s="8" t="s">
        <v>322</v>
      </c>
      <c r="E40" s="8" t="s">
        <v>313</v>
      </c>
      <c r="F40" s="8" t="s">
        <v>314</v>
      </c>
      <c r="G40" s="16" t="s">
        <v>315</v>
      </c>
      <c r="H40" s="8" t="s">
        <v>316</v>
      </c>
    </row>
    <row r="41" ht="21.75" customHeight="1">
      <c r="A41" s="8" t="s">
        <v>323</v>
      </c>
      <c r="B41" s="8" t="s">
        <v>324</v>
      </c>
      <c r="C41" s="8">
        <v>33.0</v>
      </c>
      <c r="D41" s="8" t="s">
        <v>325</v>
      </c>
      <c r="E41" s="8" t="s">
        <v>313</v>
      </c>
      <c r="F41" s="8" t="s">
        <v>314</v>
      </c>
      <c r="G41" s="16" t="s">
        <v>315</v>
      </c>
      <c r="H41" s="8" t="s">
        <v>316</v>
      </c>
    </row>
    <row r="42" ht="21.75" customHeight="1">
      <c r="A42" s="8" t="s">
        <v>326</v>
      </c>
      <c r="B42" s="8" t="s">
        <v>327</v>
      </c>
      <c r="C42" s="8">
        <v>22.0</v>
      </c>
      <c r="D42" s="8" t="s">
        <v>328</v>
      </c>
      <c r="E42" s="8" t="s">
        <v>313</v>
      </c>
      <c r="F42" s="8" t="s">
        <v>314</v>
      </c>
      <c r="G42" s="16" t="s">
        <v>315</v>
      </c>
      <c r="H42" s="8" t="s">
        <v>329</v>
      </c>
    </row>
    <row r="43" ht="24.0" customHeight="1">
      <c r="A43" s="5" t="s">
        <v>330</v>
      </c>
      <c r="B43" s="6"/>
      <c r="C43" s="6"/>
      <c r="D43" s="6"/>
      <c r="E43" s="6"/>
      <c r="F43" s="6"/>
      <c r="G43" s="6"/>
      <c r="H43" s="7"/>
    </row>
    <row r="44" ht="21.75" customHeight="1">
      <c r="A44" s="8" t="s">
        <v>331</v>
      </c>
      <c r="B44" s="8" t="s">
        <v>332</v>
      </c>
      <c r="C44" s="8">
        <v>12.0</v>
      </c>
      <c r="D44" s="8" t="s">
        <v>333</v>
      </c>
      <c r="E44" s="8" t="s">
        <v>334</v>
      </c>
      <c r="F44" s="8" t="s">
        <v>219</v>
      </c>
      <c r="G44" s="11" t="s">
        <v>186</v>
      </c>
      <c r="H44" s="8" t="s">
        <v>335</v>
      </c>
    </row>
    <row r="45" ht="24.0" customHeight="1">
      <c r="A45" s="5" t="s">
        <v>336</v>
      </c>
      <c r="B45" s="6"/>
      <c r="C45" s="6"/>
      <c r="D45" s="6"/>
      <c r="E45" s="6"/>
      <c r="F45" s="6"/>
      <c r="G45" s="6"/>
      <c r="H45" s="7"/>
    </row>
    <row r="46" ht="21.75" customHeight="1">
      <c r="A46" s="8" t="s">
        <v>337</v>
      </c>
      <c r="B46" s="8" t="s">
        <v>18</v>
      </c>
      <c r="C46" s="8" t="s">
        <v>18</v>
      </c>
      <c r="D46" s="8" t="s">
        <v>338</v>
      </c>
      <c r="E46" s="8" t="s">
        <v>196</v>
      </c>
      <c r="F46" s="8" t="s">
        <v>18</v>
      </c>
      <c r="G46" s="17" t="s">
        <v>339</v>
      </c>
      <c r="H46" s="8" t="s">
        <v>340</v>
      </c>
    </row>
    <row r="47" ht="21.75" customHeight="1">
      <c r="A47" s="8" t="s">
        <v>341</v>
      </c>
      <c r="B47" s="8" t="s">
        <v>18</v>
      </c>
      <c r="C47" s="8" t="s">
        <v>18</v>
      </c>
      <c r="D47" s="8" t="s">
        <v>342</v>
      </c>
      <c r="E47" s="8" t="s">
        <v>343</v>
      </c>
      <c r="F47" s="8" t="s">
        <v>18</v>
      </c>
      <c r="G47" s="17" t="s">
        <v>339</v>
      </c>
      <c r="H47" s="8" t="s">
        <v>344</v>
      </c>
    </row>
    <row r="48" ht="21.75" customHeight="1">
      <c r="A48" s="8" t="s">
        <v>345</v>
      </c>
      <c r="B48" s="8" t="s">
        <v>18</v>
      </c>
      <c r="C48" s="8" t="s">
        <v>18</v>
      </c>
      <c r="D48" s="8" t="s">
        <v>346</v>
      </c>
      <c r="E48" s="8" t="s">
        <v>347</v>
      </c>
      <c r="F48" s="8" t="s">
        <v>18</v>
      </c>
      <c r="G48" s="17" t="s">
        <v>339</v>
      </c>
      <c r="H48" s="8" t="s">
        <v>348</v>
      </c>
    </row>
    <row r="49" ht="21.75" customHeight="1">
      <c r="A49" s="8" t="s">
        <v>349</v>
      </c>
      <c r="B49" s="8" t="s">
        <v>18</v>
      </c>
      <c r="C49" s="8" t="s">
        <v>18</v>
      </c>
      <c r="D49" s="8" t="s">
        <v>350</v>
      </c>
      <c r="E49" s="8" t="s">
        <v>351</v>
      </c>
      <c r="F49" s="8" t="s">
        <v>18</v>
      </c>
      <c r="G49" s="17" t="s">
        <v>339</v>
      </c>
      <c r="H49" s="8" t="s">
        <v>348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3:H43"/>
    <mergeCell ref="A45:H45"/>
    <mergeCell ref="A1:H1"/>
    <mergeCell ref="A3:H3"/>
    <mergeCell ref="A13:H13"/>
    <mergeCell ref="A19:H19"/>
    <mergeCell ref="A29:H29"/>
    <mergeCell ref="A32:H32"/>
    <mergeCell ref="A37:H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4.0"/>
    <col customWidth="1" min="4" max="4" width="35.0"/>
    <col customWidth="1" min="5" max="5" width="40.0"/>
    <col customWidth="1" min="6" max="6" width="14.0"/>
    <col customWidth="1" min="7" max="7" width="12.0"/>
    <col customWidth="1" min="8" max="8" width="10.0"/>
    <col customWidth="1" min="9" max="26" width="8.86"/>
  </cols>
  <sheetData>
    <row r="1" ht="14.25" customHeight="1">
      <c r="A1" s="18" t="s">
        <v>352</v>
      </c>
      <c r="B1" s="2"/>
      <c r="C1" s="2"/>
      <c r="D1" s="2"/>
      <c r="E1" s="2"/>
      <c r="F1" s="2"/>
      <c r="G1" s="2"/>
      <c r="H1" s="2"/>
    </row>
    <row r="2" ht="14.25" customHeight="1">
      <c r="A2" s="4" t="s">
        <v>353</v>
      </c>
      <c r="B2" s="4" t="s">
        <v>354</v>
      </c>
      <c r="C2" s="4" t="s">
        <v>355</v>
      </c>
      <c r="D2" s="4" t="s">
        <v>356</v>
      </c>
      <c r="E2" s="4" t="s">
        <v>357</v>
      </c>
      <c r="F2" s="4" t="s">
        <v>358</v>
      </c>
      <c r="G2" s="4" t="s">
        <v>6</v>
      </c>
      <c r="H2" s="4" t="s">
        <v>4</v>
      </c>
    </row>
    <row r="3" ht="24.0" customHeight="1">
      <c r="A3" s="5" t="s">
        <v>359</v>
      </c>
      <c r="B3" s="6"/>
      <c r="C3" s="6"/>
      <c r="D3" s="6"/>
      <c r="E3" s="6"/>
      <c r="F3" s="6"/>
      <c r="G3" s="6"/>
      <c r="H3" s="7"/>
    </row>
    <row r="4" ht="27.75" customHeight="1">
      <c r="A4" s="8" t="s">
        <v>360</v>
      </c>
      <c r="B4" s="8" t="s">
        <v>361</v>
      </c>
      <c r="C4" s="8" t="s">
        <v>362</v>
      </c>
      <c r="D4" s="8" t="s">
        <v>363</v>
      </c>
      <c r="E4" s="8" t="s">
        <v>364</v>
      </c>
      <c r="F4" s="8" t="s">
        <v>365</v>
      </c>
      <c r="G4" s="8" t="s">
        <v>43</v>
      </c>
      <c r="H4" s="8" t="s">
        <v>23</v>
      </c>
    </row>
    <row r="5" ht="27.75" customHeight="1">
      <c r="A5" s="8" t="s">
        <v>366</v>
      </c>
      <c r="B5" s="8" t="s">
        <v>367</v>
      </c>
      <c r="C5" s="8" t="s">
        <v>362</v>
      </c>
      <c r="D5" s="8" t="s">
        <v>368</v>
      </c>
      <c r="E5" s="8" t="s">
        <v>369</v>
      </c>
      <c r="F5" s="8" t="s">
        <v>365</v>
      </c>
      <c r="G5" s="8" t="s">
        <v>43</v>
      </c>
      <c r="H5" s="8" t="s">
        <v>23</v>
      </c>
    </row>
    <row r="6" ht="27.75" customHeight="1">
      <c r="A6" s="8" t="s">
        <v>370</v>
      </c>
      <c r="B6" s="8" t="s">
        <v>371</v>
      </c>
      <c r="C6" s="8" t="s">
        <v>362</v>
      </c>
      <c r="D6" s="8" t="s">
        <v>372</v>
      </c>
      <c r="E6" s="8" t="s">
        <v>373</v>
      </c>
      <c r="F6" s="8" t="s">
        <v>365</v>
      </c>
      <c r="G6" s="8" t="s">
        <v>43</v>
      </c>
      <c r="H6" s="8" t="s">
        <v>23</v>
      </c>
    </row>
    <row r="7" ht="24.0" customHeight="1">
      <c r="A7" s="5" t="s">
        <v>374</v>
      </c>
      <c r="B7" s="6"/>
      <c r="C7" s="6"/>
      <c r="D7" s="6"/>
      <c r="E7" s="6"/>
      <c r="F7" s="6"/>
      <c r="G7" s="6"/>
      <c r="H7" s="7"/>
    </row>
    <row r="8" ht="27.75" customHeight="1">
      <c r="A8" s="8" t="s">
        <v>375</v>
      </c>
      <c r="B8" s="8" t="s">
        <v>376</v>
      </c>
      <c r="C8" s="8" t="s">
        <v>377</v>
      </c>
      <c r="D8" s="8" t="s">
        <v>378</v>
      </c>
      <c r="E8" s="8" t="s">
        <v>379</v>
      </c>
      <c r="F8" s="8" t="s">
        <v>380</v>
      </c>
      <c r="G8" s="8" t="s">
        <v>43</v>
      </c>
      <c r="H8" s="8" t="s">
        <v>23</v>
      </c>
    </row>
    <row r="9" ht="27.75" customHeight="1">
      <c r="A9" s="8" t="s">
        <v>381</v>
      </c>
      <c r="B9" s="8" t="s">
        <v>382</v>
      </c>
      <c r="C9" s="8" t="s">
        <v>377</v>
      </c>
      <c r="D9" s="8" t="s">
        <v>253</v>
      </c>
      <c r="E9" s="8" t="s">
        <v>383</v>
      </c>
      <c r="F9" s="8" t="s">
        <v>380</v>
      </c>
      <c r="G9" s="8" t="s">
        <v>43</v>
      </c>
      <c r="H9" s="8" t="s">
        <v>23</v>
      </c>
    </row>
    <row r="10" ht="27.75" customHeight="1">
      <c r="A10" s="8" t="s">
        <v>384</v>
      </c>
      <c r="B10" s="8" t="s">
        <v>385</v>
      </c>
      <c r="C10" s="8" t="s">
        <v>377</v>
      </c>
      <c r="D10" s="8" t="s">
        <v>386</v>
      </c>
      <c r="E10" s="8" t="s">
        <v>387</v>
      </c>
      <c r="F10" s="8" t="s">
        <v>380</v>
      </c>
      <c r="G10" s="8" t="s">
        <v>43</v>
      </c>
      <c r="H10" s="8" t="s">
        <v>23</v>
      </c>
    </row>
    <row r="11" ht="27.75" customHeight="1">
      <c r="A11" s="8" t="s">
        <v>388</v>
      </c>
      <c r="B11" s="8" t="s">
        <v>389</v>
      </c>
      <c r="C11" s="8" t="s">
        <v>377</v>
      </c>
      <c r="D11" s="8" t="s">
        <v>390</v>
      </c>
      <c r="E11" s="8" t="s">
        <v>391</v>
      </c>
      <c r="F11" s="8" t="s">
        <v>380</v>
      </c>
      <c r="G11" s="8" t="s">
        <v>43</v>
      </c>
      <c r="H11" s="8" t="s">
        <v>23</v>
      </c>
    </row>
    <row r="12" ht="27.75" customHeight="1">
      <c r="A12" s="8" t="s">
        <v>392</v>
      </c>
      <c r="B12" s="8" t="s">
        <v>330</v>
      </c>
      <c r="C12" s="8" t="s">
        <v>377</v>
      </c>
      <c r="D12" s="8" t="s">
        <v>332</v>
      </c>
      <c r="E12" s="8" t="s">
        <v>393</v>
      </c>
      <c r="F12" s="8" t="s">
        <v>380</v>
      </c>
      <c r="G12" s="8" t="s">
        <v>43</v>
      </c>
      <c r="H12" s="8" t="s">
        <v>23</v>
      </c>
    </row>
    <row r="13" ht="27.75" customHeight="1">
      <c r="A13" s="8" t="s">
        <v>394</v>
      </c>
      <c r="B13" s="8" t="s">
        <v>395</v>
      </c>
      <c r="C13" s="8" t="s">
        <v>377</v>
      </c>
      <c r="D13" s="8" t="s">
        <v>230</v>
      </c>
      <c r="E13" s="8" t="s">
        <v>124</v>
      </c>
      <c r="F13" s="8" t="s">
        <v>380</v>
      </c>
      <c r="G13" s="8" t="s">
        <v>43</v>
      </c>
      <c r="H13" s="8" t="s">
        <v>23</v>
      </c>
    </row>
    <row r="14" ht="27.75" customHeight="1">
      <c r="A14" s="8" t="s">
        <v>396</v>
      </c>
      <c r="B14" s="8" t="s">
        <v>397</v>
      </c>
      <c r="C14" s="8" t="s">
        <v>377</v>
      </c>
      <c r="D14" s="8" t="s">
        <v>267</v>
      </c>
      <c r="E14" s="8" t="s">
        <v>398</v>
      </c>
      <c r="F14" s="8" t="s">
        <v>380</v>
      </c>
      <c r="G14" s="8" t="s">
        <v>43</v>
      </c>
      <c r="H14" s="8" t="s">
        <v>23</v>
      </c>
    </row>
    <row r="15" ht="27.75" customHeight="1">
      <c r="A15" s="8" t="s">
        <v>399</v>
      </c>
      <c r="B15" s="8" t="s">
        <v>400</v>
      </c>
      <c r="C15" s="8" t="s">
        <v>377</v>
      </c>
      <c r="D15" s="8" t="s">
        <v>401</v>
      </c>
      <c r="E15" s="8" t="s">
        <v>402</v>
      </c>
      <c r="F15" s="8" t="s">
        <v>380</v>
      </c>
      <c r="G15" s="8" t="s">
        <v>43</v>
      </c>
      <c r="H15" s="8" t="s">
        <v>23</v>
      </c>
    </row>
    <row r="16" ht="27.75" customHeight="1">
      <c r="A16" s="8" t="s">
        <v>403</v>
      </c>
      <c r="B16" s="8" t="s">
        <v>404</v>
      </c>
      <c r="C16" s="8" t="s">
        <v>377</v>
      </c>
      <c r="D16" s="8" t="s">
        <v>372</v>
      </c>
      <c r="E16" s="8" t="s">
        <v>405</v>
      </c>
      <c r="F16" s="8" t="s">
        <v>380</v>
      </c>
      <c r="G16" s="8" t="s">
        <v>43</v>
      </c>
      <c r="H16" s="8" t="s">
        <v>23</v>
      </c>
    </row>
    <row r="17" ht="24.0" customHeight="1">
      <c r="A17" s="5" t="s">
        <v>406</v>
      </c>
      <c r="B17" s="6"/>
      <c r="C17" s="6"/>
      <c r="D17" s="6"/>
      <c r="E17" s="6"/>
      <c r="F17" s="6"/>
      <c r="G17" s="6"/>
      <c r="H17" s="7"/>
    </row>
    <row r="18" ht="27.75" customHeight="1">
      <c r="A18" s="8" t="s">
        <v>407</v>
      </c>
      <c r="B18" s="8" t="s">
        <v>408</v>
      </c>
      <c r="C18" s="8" t="s">
        <v>409</v>
      </c>
      <c r="D18" s="8" t="s">
        <v>372</v>
      </c>
      <c r="E18" s="8" t="s">
        <v>410</v>
      </c>
      <c r="F18" s="8" t="s">
        <v>411</v>
      </c>
      <c r="G18" s="11" t="s">
        <v>16</v>
      </c>
      <c r="H18" s="8" t="s">
        <v>23</v>
      </c>
      <c r="I18" s="8" t="s">
        <v>43</v>
      </c>
    </row>
    <row r="19" ht="27.75" customHeight="1">
      <c r="A19" s="8" t="s">
        <v>412</v>
      </c>
      <c r="B19" s="8" t="s">
        <v>413</v>
      </c>
      <c r="C19" s="8" t="s">
        <v>409</v>
      </c>
      <c r="D19" s="8" t="s">
        <v>267</v>
      </c>
      <c r="E19" s="8" t="s">
        <v>414</v>
      </c>
      <c r="F19" s="8" t="s">
        <v>415</v>
      </c>
      <c r="G19" s="11" t="s">
        <v>16</v>
      </c>
      <c r="H19" s="8" t="s">
        <v>23</v>
      </c>
    </row>
    <row r="20" ht="27.75" customHeight="1">
      <c r="A20" s="8" t="s">
        <v>416</v>
      </c>
      <c r="B20" s="8" t="s">
        <v>417</v>
      </c>
      <c r="C20" s="8" t="s">
        <v>409</v>
      </c>
      <c r="D20" s="8" t="s">
        <v>418</v>
      </c>
      <c r="E20" s="8" t="s">
        <v>419</v>
      </c>
      <c r="F20" s="8" t="s">
        <v>415</v>
      </c>
      <c r="G20" s="11" t="s">
        <v>16</v>
      </c>
      <c r="H20" s="8" t="s">
        <v>23</v>
      </c>
    </row>
    <row r="21" ht="27.75" customHeight="1">
      <c r="A21" s="8" t="s">
        <v>420</v>
      </c>
      <c r="B21" s="8" t="s">
        <v>330</v>
      </c>
      <c r="C21" s="8" t="s">
        <v>409</v>
      </c>
      <c r="D21" s="8" t="s">
        <v>332</v>
      </c>
      <c r="E21" s="8" t="s">
        <v>421</v>
      </c>
      <c r="F21" s="8" t="s">
        <v>422</v>
      </c>
      <c r="G21" s="11" t="s">
        <v>16</v>
      </c>
      <c r="H21" s="8" t="s">
        <v>23</v>
      </c>
    </row>
    <row r="22" ht="27.75" customHeight="1">
      <c r="A22" s="8" t="s">
        <v>423</v>
      </c>
      <c r="B22" s="8" t="s">
        <v>424</v>
      </c>
      <c r="C22" s="8" t="s">
        <v>409</v>
      </c>
      <c r="D22" s="8" t="s">
        <v>425</v>
      </c>
      <c r="E22" s="8" t="s">
        <v>426</v>
      </c>
      <c r="F22" s="8" t="s">
        <v>415</v>
      </c>
      <c r="G22" s="11" t="s">
        <v>16</v>
      </c>
      <c r="H22" s="8" t="s">
        <v>23</v>
      </c>
    </row>
    <row r="23" ht="27.75" customHeight="1">
      <c r="A23" s="8" t="s">
        <v>427</v>
      </c>
      <c r="B23" s="8" t="s">
        <v>428</v>
      </c>
      <c r="C23" s="8" t="s">
        <v>409</v>
      </c>
      <c r="D23" s="8" t="s">
        <v>429</v>
      </c>
      <c r="E23" s="8" t="s">
        <v>430</v>
      </c>
      <c r="F23" s="8" t="s">
        <v>422</v>
      </c>
      <c r="G23" s="11" t="s">
        <v>16</v>
      </c>
      <c r="H23" s="8" t="s">
        <v>23</v>
      </c>
    </row>
    <row r="24" ht="24.0" customHeight="1">
      <c r="A24" s="5" t="s">
        <v>431</v>
      </c>
      <c r="B24" s="6"/>
      <c r="C24" s="6"/>
      <c r="D24" s="6"/>
      <c r="E24" s="6"/>
      <c r="F24" s="6"/>
      <c r="G24" s="6"/>
      <c r="H24" s="7"/>
    </row>
    <row r="25" ht="27.75" customHeight="1">
      <c r="A25" s="8" t="s">
        <v>432</v>
      </c>
      <c r="B25" s="8" t="s">
        <v>433</v>
      </c>
      <c r="C25" s="8" t="s">
        <v>434</v>
      </c>
      <c r="D25" s="8" t="s">
        <v>435</v>
      </c>
      <c r="E25" s="8" t="s">
        <v>436</v>
      </c>
      <c r="F25" s="8" t="s">
        <v>432</v>
      </c>
      <c r="G25" s="11" t="s">
        <v>437</v>
      </c>
      <c r="H25" s="8" t="s">
        <v>23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3:H3"/>
    <mergeCell ref="A7:H7"/>
    <mergeCell ref="A17:H17"/>
    <mergeCell ref="A24:H2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3483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55.0"/>
    <col customWidth="1" min="3" max="3" width="40.0"/>
    <col customWidth="1" min="4" max="26" width="8.86"/>
  </cols>
  <sheetData>
    <row r="1" ht="14.25" customHeight="1">
      <c r="A1" s="19" t="s">
        <v>438</v>
      </c>
      <c r="B1" s="2"/>
      <c r="C1" s="2"/>
    </row>
    <row r="2" ht="14.25" customHeight="1">
      <c r="A2" s="4" t="s">
        <v>439</v>
      </c>
      <c r="B2" s="4" t="s">
        <v>440</v>
      </c>
      <c r="C2" s="4" t="s">
        <v>441</v>
      </c>
    </row>
    <row r="3" ht="48.0" customHeight="1">
      <c r="A3" s="8" t="s">
        <v>442</v>
      </c>
      <c r="B3" s="8" t="s">
        <v>443</v>
      </c>
      <c r="C3" s="8" t="s">
        <v>444</v>
      </c>
    </row>
    <row r="4" ht="48.0" customHeight="1">
      <c r="A4" s="8" t="s">
        <v>445</v>
      </c>
      <c r="B4" s="8" t="s">
        <v>446</v>
      </c>
      <c r="C4" s="8" t="s">
        <v>447</v>
      </c>
    </row>
    <row r="5" ht="48.0" customHeight="1">
      <c r="A5" s="8" t="s">
        <v>448</v>
      </c>
      <c r="B5" s="8" t="s">
        <v>449</v>
      </c>
      <c r="C5" s="8" t="s">
        <v>450</v>
      </c>
    </row>
    <row r="6" ht="48.0" customHeight="1">
      <c r="A6" s="8" t="s">
        <v>451</v>
      </c>
      <c r="B6" s="8" t="s">
        <v>452</v>
      </c>
      <c r="C6" s="8" t="s">
        <v>453</v>
      </c>
    </row>
    <row r="7" ht="48.0" customHeight="1">
      <c r="A7" s="8" t="s">
        <v>454</v>
      </c>
      <c r="B7" s="8" t="s">
        <v>455</v>
      </c>
      <c r="C7" s="8" t="s">
        <v>456</v>
      </c>
    </row>
    <row r="8" ht="48.0" customHeight="1">
      <c r="A8" s="8" t="s">
        <v>457</v>
      </c>
      <c r="B8" s="8" t="s">
        <v>458</v>
      </c>
      <c r="C8" s="8" t="s">
        <v>459</v>
      </c>
    </row>
    <row r="9" ht="48.0" customHeight="1">
      <c r="A9" s="8" t="s">
        <v>460</v>
      </c>
      <c r="B9" s="8" t="s">
        <v>461</v>
      </c>
      <c r="C9" s="8" t="s">
        <v>462</v>
      </c>
    </row>
    <row r="10" ht="48.0" customHeight="1">
      <c r="A10" s="8" t="s">
        <v>463</v>
      </c>
      <c r="B10" s="8" t="s">
        <v>464</v>
      </c>
      <c r="C10" s="8" t="s">
        <v>465</v>
      </c>
    </row>
    <row r="11" ht="48.0" customHeight="1">
      <c r="A11" s="8" t="s">
        <v>466</v>
      </c>
      <c r="B11" s="8" t="s">
        <v>467</v>
      </c>
      <c r="C11" s="8" t="s">
        <v>468</v>
      </c>
    </row>
    <row r="12" ht="48.0" customHeight="1">
      <c r="A12" s="8" t="s">
        <v>469</v>
      </c>
      <c r="B12" s="8" t="s">
        <v>470</v>
      </c>
      <c r="C12" s="8" t="s">
        <v>471</v>
      </c>
    </row>
    <row r="13" ht="48.0" customHeight="1">
      <c r="A13" s="8" t="s">
        <v>472</v>
      </c>
      <c r="B13" s="8" t="s">
        <v>473</v>
      </c>
      <c r="C13" s="8" t="s">
        <v>474</v>
      </c>
    </row>
    <row r="14" ht="48.0" customHeight="1">
      <c r="A14" s="8" t="s">
        <v>475</v>
      </c>
      <c r="B14" s="8" t="s">
        <v>476</v>
      </c>
      <c r="C14" s="8" t="s">
        <v>477</v>
      </c>
    </row>
    <row r="15" ht="48.0" customHeight="1">
      <c r="A15" s="8" t="s">
        <v>330</v>
      </c>
      <c r="B15" s="8" t="s">
        <v>478</v>
      </c>
      <c r="C15" s="8" t="s">
        <v>479</v>
      </c>
    </row>
    <row r="16" ht="48.0" customHeight="1">
      <c r="A16" s="8" t="s">
        <v>480</v>
      </c>
      <c r="B16" s="8" t="s">
        <v>481</v>
      </c>
      <c r="C16" s="8" t="s">
        <v>482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2026-03-01T20:28:09Z</dcterms:created>
  <dc:creator>openpyxl</dc:creator>
</cp:coreProperties>
</file>